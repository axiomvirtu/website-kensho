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\Documents\"/>
    </mc:Choice>
  </mc:AlternateContent>
  <xr:revisionPtr revIDLastSave="0" documentId="13_ncr:1_{E8C81339-A98D-4BC9-B99B-4F6EF6469C8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BEL KELAS" sheetId="1" r:id="rId1"/>
    <sheet name="FESTIVAL" sheetId="5" r:id="rId2"/>
    <sheet name="OPEN" sheetId="4" r:id="rId3"/>
    <sheet name="REKAP" sheetId="9" r:id="rId4"/>
  </sheets>
  <definedNames>
    <definedName name="_xlnm._FilterDatabase" localSheetId="1" hidden="1">FESTIVAL!$A$15:$T$77</definedName>
    <definedName name="_xlnm._FilterDatabase" localSheetId="2" hidden="1">OPEN!$A$1:$L$244</definedName>
    <definedName name="_xlnm._FilterDatabase" localSheetId="3" hidden="1">REKAP!$A$13:$E$20</definedName>
    <definedName name="_xlcn.WorksheetConnection_TABELFORMA1K4351" hidden="1">#REF!</definedName>
    <definedName name="baganusia1">#REF!</definedName>
    <definedName name="_xlnm.Print_Area" localSheetId="0">'TABEL KELAS'!$A$1:$O$100</definedName>
    <definedName name="Slicer_KONTINGEN">#N/A</definedName>
    <definedName name="Slicer_NO._KELA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B6" i="9"/>
  <c r="H17" i="5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147" i="5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146" i="5"/>
  <c r="H146" i="4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17" i="4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G17" i="4" l="1"/>
  <c r="G18" i="4"/>
  <c r="G150" i="4"/>
  <c r="I150" i="4" s="1"/>
  <c r="G146" i="4"/>
  <c r="I146" i="4" s="1"/>
  <c r="G244" i="4"/>
  <c r="I244" i="4" s="1"/>
  <c r="D244" i="4"/>
  <c r="C244" i="4"/>
  <c r="G243" i="4"/>
  <c r="I243" i="4" s="1"/>
  <c r="D243" i="4"/>
  <c r="C243" i="4"/>
  <c r="G242" i="4"/>
  <c r="I242" i="4" s="1"/>
  <c r="D242" i="4"/>
  <c r="C242" i="4"/>
  <c r="G241" i="4"/>
  <c r="I241" i="4" s="1"/>
  <c r="D241" i="4"/>
  <c r="C241" i="4"/>
  <c r="G240" i="4"/>
  <c r="I240" i="4" s="1"/>
  <c r="D240" i="4"/>
  <c r="C240" i="4"/>
  <c r="G239" i="4"/>
  <c r="I239" i="4" s="1"/>
  <c r="D239" i="4"/>
  <c r="C239" i="4"/>
  <c r="G238" i="4"/>
  <c r="I238" i="4" s="1"/>
  <c r="D238" i="4"/>
  <c r="C238" i="4"/>
  <c r="G237" i="4"/>
  <c r="I237" i="4" s="1"/>
  <c r="D237" i="4"/>
  <c r="C237" i="4"/>
  <c r="G236" i="4"/>
  <c r="I236" i="4" s="1"/>
  <c r="D236" i="4"/>
  <c r="C236" i="4"/>
  <c r="G235" i="4"/>
  <c r="I235" i="4" s="1"/>
  <c r="D235" i="4"/>
  <c r="C235" i="4"/>
  <c r="G234" i="4"/>
  <c r="I234" i="4" s="1"/>
  <c r="D234" i="4"/>
  <c r="C234" i="4"/>
  <c r="G233" i="4"/>
  <c r="I233" i="4" s="1"/>
  <c r="D233" i="4"/>
  <c r="C233" i="4"/>
  <c r="G232" i="4"/>
  <c r="I232" i="4" s="1"/>
  <c r="D232" i="4"/>
  <c r="C232" i="4"/>
  <c r="G231" i="4"/>
  <c r="I231" i="4" s="1"/>
  <c r="D231" i="4"/>
  <c r="C231" i="4"/>
  <c r="G230" i="4"/>
  <c r="I230" i="4" s="1"/>
  <c r="D230" i="4"/>
  <c r="C230" i="4"/>
  <c r="G229" i="4"/>
  <c r="I229" i="4" s="1"/>
  <c r="D229" i="4"/>
  <c r="C229" i="4"/>
  <c r="G228" i="4"/>
  <c r="I228" i="4" s="1"/>
  <c r="D228" i="4"/>
  <c r="C228" i="4"/>
  <c r="G227" i="4"/>
  <c r="I227" i="4" s="1"/>
  <c r="D227" i="4"/>
  <c r="C227" i="4"/>
  <c r="G226" i="4"/>
  <c r="I226" i="4" s="1"/>
  <c r="D226" i="4"/>
  <c r="C226" i="4"/>
  <c r="G225" i="4"/>
  <c r="I225" i="4" s="1"/>
  <c r="D225" i="4"/>
  <c r="C225" i="4"/>
  <c r="G224" i="4"/>
  <c r="I224" i="4" s="1"/>
  <c r="D224" i="4"/>
  <c r="C224" i="4"/>
  <c r="G223" i="4"/>
  <c r="I223" i="4" s="1"/>
  <c r="D223" i="4"/>
  <c r="C223" i="4"/>
  <c r="G222" i="4"/>
  <c r="I222" i="4" s="1"/>
  <c r="D222" i="4"/>
  <c r="C222" i="4"/>
  <c r="G221" i="4"/>
  <c r="I221" i="4" s="1"/>
  <c r="D221" i="4"/>
  <c r="C221" i="4"/>
  <c r="G220" i="4"/>
  <c r="I220" i="4" s="1"/>
  <c r="D220" i="4"/>
  <c r="C220" i="4"/>
  <c r="G219" i="4"/>
  <c r="I219" i="4" s="1"/>
  <c r="D219" i="4"/>
  <c r="C219" i="4"/>
  <c r="G218" i="4"/>
  <c r="I218" i="4" s="1"/>
  <c r="D218" i="4"/>
  <c r="C218" i="4"/>
  <c r="G217" i="4"/>
  <c r="I217" i="4" s="1"/>
  <c r="D217" i="4"/>
  <c r="C217" i="4"/>
  <c r="G216" i="4"/>
  <c r="I216" i="4" s="1"/>
  <c r="D216" i="4"/>
  <c r="C216" i="4"/>
  <c r="G215" i="4"/>
  <c r="I215" i="4" s="1"/>
  <c r="D215" i="4"/>
  <c r="C215" i="4"/>
  <c r="G214" i="4"/>
  <c r="I214" i="4" s="1"/>
  <c r="D214" i="4"/>
  <c r="C214" i="4"/>
  <c r="G213" i="4"/>
  <c r="I213" i="4" s="1"/>
  <c r="D213" i="4"/>
  <c r="C213" i="4"/>
  <c r="G212" i="4"/>
  <c r="I212" i="4" s="1"/>
  <c r="D212" i="4"/>
  <c r="C212" i="4"/>
  <c r="G211" i="4"/>
  <c r="I211" i="4" s="1"/>
  <c r="D211" i="4"/>
  <c r="C211" i="4"/>
  <c r="G210" i="4"/>
  <c r="I210" i="4" s="1"/>
  <c r="D210" i="4"/>
  <c r="C210" i="4"/>
  <c r="G209" i="4"/>
  <c r="I209" i="4" s="1"/>
  <c r="D209" i="4"/>
  <c r="C209" i="4"/>
  <c r="G208" i="4"/>
  <c r="I208" i="4" s="1"/>
  <c r="D208" i="4"/>
  <c r="C208" i="4"/>
  <c r="G207" i="4"/>
  <c r="I207" i="4" s="1"/>
  <c r="D207" i="4"/>
  <c r="C207" i="4"/>
  <c r="G206" i="4"/>
  <c r="I206" i="4" s="1"/>
  <c r="D206" i="4"/>
  <c r="C206" i="4"/>
  <c r="G205" i="4"/>
  <c r="I205" i="4" s="1"/>
  <c r="D205" i="4"/>
  <c r="C205" i="4"/>
  <c r="G204" i="4"/>
  <c r="I204" i="4" s="1"/>
  <c r="D204" i="4"/>
  <c r="C204" i="4"/>
  <c r="G203" i="4"/>
  <c r="I203" i="4" s="1"/>
  <c r="D203" i="4"/>
  <c r="C203" i="4"/>
  <c r="G202" i="4"/>
  <c r="I202" i="4" s="1"/>
  <c r="D202" i="4"/>
  <c r="C202" i="4"/>
  <c r="G201" i="4"/>
  <c r="I201" i="4" s="1"/>
  <c r="D201" i="4"/>
  <c r="C201" i="4"/>
  <c r="G200" i="4"/>
  <c r="I200" i="4" s="1"/>
  <c r="D200" i="4"/>
  <c r="C200" i="4"/>
  <c r="G199" i="4"/>
  <c r="I199" i="4" s="1"/>
  <c r="D199" i="4"/>
  <c r="C199" i="4"/>
  <c r="G198" i="4"/>
  <c r="I198" i="4" s="1"/>
  <c r="D198" i="4"/>
  <c r="C198" i="4"/>
  <c r="G197" i="4"/>
  <c r="I197" i="4" s="1"/>
  <c r="D197" i="4"/>
  <c r="C197" i="4"/>
  <c r="G196" i="4"/>
  <c r="I196" i="4" s="1"/>
  <c r="D196" i="4"/>
  <c r="C196" i="4"/>
  <c r="G195" i="4"/>
  <c r="I195" i="4" s="1"/>
  <c r="D195" i="4"/>
  <c r="C195" i="4"/>
  <c r="G194" i="4"/>
  <c r="I194" i="4" s="1"/>
  <c r="D194" i="4"/>
  <c r="C194" i="4"/>
  <c r="G193" i="4"/>
  <c r="I193" i="4" s="1"/>
  <c r="D193" i="4"/>
  <c r="C193" i="4"/>
  <c r="G192" i="4"/>
  <c r="I192" i="4" s="1"/>
  <c r="D192" i="4"/>
  <c r="C192" i="4"/>
  <c r="G191" i="4"/>
  <c r="I191" i="4" s="1"/>
  <c r="D191" i="4"/>
  <c r="C191" i="4"/>
  <c r="G190" i="4"/>
  <c r="I190" i="4" s="1"/>
  <c r="D190" i="4"/>
  <c r="C190" i="4"/>
  <c r="G189" i="4"/>
  <c r="I189" i="4" s="1"/>
  <c r="D189" i="4"/>
  <c r="C189" i="4"/>
  <c r="G188" i="4"/>
  <c r="I188" i="4" s="1"/>
  <c r="D188" i="4"/>
  <c r="C188" i="4"/>
  <c r="G187" i="4"/>
  <c r="I187" i="4" s="1"/>
  <c r="D187" i="4"/>
  <c r="C187" i="4"/>
  <c r="G186" i="4"/>
  <c r="I186" i="4" s="1"/>
  <c r="D186" i="4"/>
  <c r="C186" i="4"/>
  <c r="G185" i="4"/>
  <c r="I185" i="4" s="1"/>
  <c r="D185" i="4"/>
  <c r="C185" i="4"/>
  <c r="G184" i="4"/>
  <c r="I184" i="4" s="1"/>
  <c r="D184" i="4"/>
  <c r="C184" i="4"/>
  <c r="G183" i="4"/>
  <c r="I183" i="4" s="1"/>
  <c r="D183" i="4"/>
  <c r="C183" i="4"/>
  <c r="G182" i="4"/>
  <c r="I182" i="4" s="1"/>
  <c r="D182" i="4"/>
  <c r="C182" i="4"/>
  <c r="G181" i="4"/>
  <c r="I181" i="4" s="1"/>
  <c r="D181" i="4"/>
  <c r="C181" i="4"/>
  <c r="G180" i="4"/>
  <c r="I180" i="4" s="1"/>
  <c r="D180" i="4"/>
  <c r="C180" i="4"/>
  <c r="G179" i="4"/>
  <c r="I179" i="4" s="1"/>
  <c r="D179" i="4"/>
  <c r="C179" i="4"/>
  <c r="G178" i="4"/>
  <c r="I178" i="4" s="1"/>
  <c r="D178" i="4"/>
  <c r="C178" i="4"/>
  <c r="G177" i="4"/>
  <c r="I177" i="4" s="1"/>
  <c r="D177" i="4"/>
  <c r="C177" i="4"/>
  <c r="G176" i="4"/>
  <c r="I176" i="4" s="1"/>
  <c r="D176" i="4"/>
  <c r="C176" i="4"/>
  <c r="G175" i="4"/>
  <c r="I175" i="4" s="1"/>
  <c r="D175" i="4"/>
  <c r="C175" i="4"/>
  <c r="G174" i="4"/>
  <c r="I174" i="4" s="1"/>
  <c r="D174" i="4"/>
  <c r="C174" i="4"/>
  <c r="G173" i="4"/>
  <c r="I173" i="4" s="1"/>
  <c r="D173" i="4"/>
  <c r="C173" i="4"/>
  <c r="G172" i="4"/>
  <c r="I172" i="4" s="1"/>
  <c r="D172" i="4"/>
  <c r="C172" i="4"/>
  <c r="G171" i="4"/>
  <c r="I171" i="4" s="1"/>
  <c r="D171" i="4"/>
  <c r="C171" i="4"/>
  <c r="G170" i="4"/>
  <c r="I170" i="4" s="1"/>
  <c r="D170" i="4"/>
  <c r="C170" i="4"/>
  <c r="G169" i="4"/>
  <c r="I169" i="4" s="1"/>
  <c r="D169" i="4"/>
  <c r="C169" i="4"/>
  <c r="G168" i="4"/>
  <c r="I168" i="4" s="1"/>
  <c r="D168" i="4"/>
  <c r="C168" i="4"/>
  <c r="G167" i="4"/>
  <c r="I167" i="4" s="1"/>
  <c r="D167" i="4"/>
  <c r="C167" i="4"/>
  <c r="G166" i="4"/>
  <c r="I166" i="4" s="1"/>
  <c r="D166" i="4"/>
  <c r="C166" i="4"/>
  <c r="G165" i="4"/>
  <c r="I165" i="4" s="1"/>
  <c r="D165" i="4"/>
  <c r="C165" i="4"/>
  <c r="G164" i="4"/>
  <c r="I164" i="4" s="1"/>
  <c r="D164" i="4"/>
  <c r="C164" i="4"/>
  <c r="G163" i="4"/>
  <c r="I163" i="4" s="1"/>
  <c r="D163" i="4"/>
  <c r="C163" i="4"/>
  <c r="G162" i="4"/>
  <c r="I162" i="4" s="1"/>
  <c r="D162" i="4"/>
  <c r="C162" i="4"/>
  <c r="G161" i="4"/>
  <c r="I161" i="4" s="1"/>
  <c r="D161" i="4"/>
  <c r="C161" i="4"/>
  <c r="G160" i="4"/>
  <c r="I160" i="4" s="1"/>
  <c r="D160" i="4"/>
  <c r="C160" i="4"/>
  <c r="G159" i="4"/>
  <c r="I159" i="4" s="1"/>
  <c r="D159" i="4"/>
  <c r="C159" i="4"/>
  <c r="G158" i="4"/>
  <c r="I158" i="4" s="1"/>
  <c r="D158" i="4"/>
  <c r="C158" i="4"/>
  <c r="G157" i="4"/>
  <c r="I157" i="4" s="1"/>
  <c r="D157" i="4"/>
  <c r="C157" i="4"/>
  <c r="G156" i="4"/>
  <c r="I156" i="4" s="1"/>
  <c r="D156" i="4"/>
  <c r="C156" i="4"/>
  <c r="G155" i="4"/>
  <c r="I155" i="4" s="1"/>
  <c r="D155" i="4"/>
  <c r="C155" i="4"/>
  <c r="G154" i="4"/>
  <c r="I154" i="4" s="1"/>
  <c r="D154" i="4"/>
  <c r="C154" i="4"/>
  <c r="G153" i="4"/>
  <c r="I153" i="4" s="1"/>
  <c r="D153" i="4"/>
  <c r="C153" i="4"/>
  <c r="G152" i="4"/>
  <c r="I152" i="4" s="1"/>
  <c r="D152" i="4"/>
  <c r="C152" i="4"/>
  <c r="G151" i="4"/>
  <c r="I151" i="4" s="1"/>
  <c r="D151" i="4"/>
  <c r="C151" i="4"/>
  <c r="D150" i="4"/>
  <c r="C150" i="4"/>
  <c r="G149" i="4"/>
  <c r="I149" i="4" s="1"/>
  <c r="D149" i="4"/>
  <c r="C149" i="4"/>
  <c r="G148" i="4"/>
  <c r="I148" i="4" s="1"/>
  <c r="D148" i="4"/>
  <c r="C148" i="4"/>
  <c r="G147" i="4"/>
  <c r="I147" i="4" s="1"/>
  <c r="D147" i="4"/>
  <c r="C147" i="4"/>
  <c r="D146" i="4"/>
  <c r="C146" i="4"/>
  <c r="K145" i="4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G145" i="4"/>
  <c r="I145" i="4" s="1"/>
  <c r="D145" i="4"/>
  <c r="C145" i="4"/>
  <c r="G41" i="4"/>
  <c r="I41" i="4" s="1"/>
  <c r="C41" i="4"/>
  <c r="G40" i="4"/>
  <c r="I40" i="4" s="1"/>
  <c r="C40" i="4"/>
  <c r="G39" i="4"/>
  <c r="I39" i="4" s="1"/>
  <c r="C39" i="4"/>
  <c r="G38" i="4"/>
  <c r="I38" i="4" s="1"/>
  <c r="C38" i="4"/>
  <c r="G37" i="4"/>
  <c r="I37" i="4" s="1"/>
  <c r="C37" i="4"/>
  <c r="G36" i="4"/>
  <c r="I36" i="4" s="1"/>
  <c r="C36" i="4"/>
  <c r="G35" i="4"/>
  <c r="I35" i="4" s="1"/>
  <c r="C35" i="4"/>
  <c r="G34" i="4"/>
  <c r="I34" i="4" s="1"/>
  <c r="C34" i="4"/>
  <c r="G33" i="4"/>
  <c r="I33" i="4" s="1"/>
  <c r="C33" i="4"/>
  <c r="G32" i="4"/>
  <c r="I32" i="4" s="1"/>
  <c r="C32" i="4"/>
  <c r="G31" i="4"/>
  <c r="I31" i="4" s="1"/>
  <c r="C31" i="4"/>
  <c r="G30" i="4"/>
  <c r="I30" i="4" s="1"/>
  <c r="C30" i="4"/>
  <c r="G29" i="4"/>
  <c r="I29" i="4" s="1"/>
  <c r="C29" i="4"/>
  <c r="G28" i="4"/>
  <c r="I28" i="4" s="1"/>
  <c r="C28" i="4"/>
  <c r="G27" i="4"/>
  <c r="I27" i="4" s="1"/>
  <c r="C27" i="4"/>
  <c r="G26" i="4"/>
  <c r="I26" i="4" s="1"/>
  <c r="C26" i="4"/>
  <c r="G25" i="4"/>
  <c r="I25" i="4" s="1"/>
  <c r="C25" i="4"/>
  <c r="G24" i="4"/>
  <c r="I24" i="4" s="1"/>
  <c r="C24" i="4"/>
  <c r="G23" i="4"/>
  <c r="I23" i="4" s="1"/>
  <c r="C23" i="4"/>
  <c r="G22" i="4"/>
  <c r="I22" i="4" s="1"/>
  <c r="C22" i="4"/>
  <c r="G21" i="4"/>
  <c r="I21" i="4" s="1"/>
  <c r="C21" i="4"/>
  <c r="G20" i="4"/>
  <c r="I20" i="4" s="1"/>
  <c r="C20" i="4"/>
  <c r="G19" i="4"/>
  <c r="I19" i="4" s="1"/>
  <c r="C19" i="4"/>
  <c r="I18" i="4"/>
  <c r="C18" i="4"/>
  <c r="I17" i="4"/>
  <c r="C17" i="4"/>
  <c r="G16" i="4"/>
  <c r="I16" i="4" s="1"/>
  <c r="C16" i="4"/>
  <c r="G244" i="5"/>
  <c r="I244" i="5" s="1"/>
  <c r="D244" i="5"/>
  <c r="C244" i="5"/>
  <c r="G243" i="5"/>
  <c r="I243" i="5" s="1"/>
  <c r="D243" i="5"/>
  <c r="C243" i="5"/>
  <c r="G242" i="5"/>
  <c r="I242" i="5" s="1"/>
  <c r="D242" i="5"/>
  <c r="C242" i="5"/>
  <c r="G241" i="5"/>
  <c r="I241" i="5" s="1"/>
  <c r="D241" i="5"/>
  <c r="C241" i="5"/>
  <c r="G240" i="5"/>
  <c r="I240" i="5" s="1"/>
  <c r="D240" i="5"/>
  <c r="C240" i="5"/>
  <c r="G239" i="5"/>
  <c r="I239" i="5" s="1"/>
  <c r="D239" i="5"/>
  <c r="C239" i="5"/>
  <c r="G238" i="5"/>
  <c r="I238" i="5" s="1"/>
  <c r="D238" i="5"/>
  <c r="C238" i="5"/>
  <c r="G237" i="5"/>
  <c r="I237" i="5" s="1"/>
  <c r="D237" i="5"/>
  <c r="C237" i="5"/>
  <c r="G236" i="5"/>
  <c r="I236" i="5" s="1"/>
  <c r="D236" i="5"/>
  <c r="C236" i="5"/>
  <c r="G235" i="5"/>
  <c r="I235" i="5" s="1"/>
  <c r="D235" i="5"/>
  <c r="C235" i="5"/>
  <c r="G234" i="5"/>
  <c r="I234" i="5" s="1"/>
  <c r="D234" i="5"/>
  <c r="C234" i="5"/>
  <c r="G233" i="5"/>
  <c r="I233" i="5" s="1"/>
  <c r="D233" i="5"/>
  <c r="C233" i="5"/>
  <c r="G232" i="5"/>
  <c r="I232" i="5" s="1"/>
  <c r="D232" i="5"/>
  <c r="C232" i="5"/>
  <c r="G231" i="5"/>
  <c r="I231" i="5" s="1"/>
  <c r="D231" i="5"/>
  <c r="C231" i="5"/>
  <c r="G230" i="5"/>
  <c r="I230" i="5" s="1"/>
  <c r="D230" i="5"/>
  <c r="C230" i="5"/>
  <c r="G229" i="5"/>
  <c r="I229" i="5" s="1"/>
  <c r="D229" i="5"/>
  <c r="C229" i="5"/>
  <c r="G228" i="5"/>
  <c r="I228" i="5" s="1"/>
  <c r="D228" i="5"/>
  <c r="C228" i="5"/>
  <c r="G227" i="5"/>
  <c r="I227" i="5" s="1"/>
  <c r="D227" i="5"/>
  <c r="C227" i="5"/>
  <c r="G226" i="5"/>
  <c r="I226" i="5" s="1"/>
  <c r="D226" i="5"/>
  <c r="C226" i="5"/>
  <c r="G225" i="5"/>
  <c r="I225" i="5" s="1"/>
  <c r="D225" i="5"/>
  <c r="C225" i="5"/>
  <c r="G224" i="5"/>
  <c r="I224" i="5" s="1"/>
  <c r="D224" i="5"/>
  <c r="C224" i="5"/>
  <c r="G223" i="5"/>
  <c r="I223" i="5" s="1"/>
  <c r="D223" i="5"/>
  <c r="C223" i="5"/>
  <c r="G222" i="5"/>
  <c r="I222" i="5" s="1"/>
  <c r="D222" i="5"/>
  <c r="C222" i="5"/>
  <c r="G221" i="5"/>
  <c r="I221" i="5" s="1"/>
  <c r="D221" i="5"/>
  <c r="C221" i="5"/>
  <c r="G220" i="5"/>
  <c r="I220" i="5" s="1"/>
  <c r="D220" i="5"/>
  <c r="C220" i="5"/>
  <c r="G219" i="5"/>
  <c r="I219" i="5" s="1"/>
  <c r="D219" i="5"/>
  <c r="C219" i="5"/>
  <c r="G218" i="5"/>
  <c r="I218" i="5" s="1"/>
  <c r="D218" i="5"/>
  <c r="C218" i="5"/>
  <c r="G217" i="5"/>
  <c r="I217" i="5" s="1"/>
  <c r="D217" i="5"/>
  <c r="C217" i="5"/>
  <c r="G216" i="5"/>
  <c r="I216" i="5" s="1"/>
  <c r="D216" i="5"/>
  <c r="C216" i="5"/>
  <c r="G215" i="5"/>
  <c r="I215" i="5" s="1"/>
  <c r="D215" i="5"/>
  <c r="C215" i="5"/>
  <c r="G214" i="5"/>
  <c r="I214" i="5" s="1"/>
  <c r="D214" i="5"/>
  <c r="C214" i="5"/>
  <c r="G213" i="5"/>
  <c r="I213" i="5" s="1"/>
  <c r="D213" i="5"/>
  <c r="C213" i="5"/>
  <c r="G212" i="5"/>
  <c r="I212" i="5" s="1"/>
  <c r="D212" i="5"/>
  <c r="C212" i="5"/>
  <c r="G211" i="5"/>
  <c r="I211" i="5" s="1"/>
  <c r="D211" i="5"/>
  <c r="C211" i="5"/>
  <c r="G210" i="5"/>
  <c r="I210" i="5" s="1"/>
  <c r="D210" i="5"/>
  <c r="C210" i="5"/>
  <c r="G209" i="5"/>
  <c r="I209" i="5" s="1"/>
  <c r="D209" i="5"/>
  <c r="C209" i="5"/>
  <c r="G208" i="5"/>
  <c r="I208" i="5" s="1"/>
  <c r="D208" i="5"/>
  <c r="C208" i="5"/>
  <c r="G207" i="5"/>
  <c r="I207" i="5" s="1"/>
  <c r="D207" i="5"/>
  <c r="C207" i="5"/>
  <c r="G206" i="5"/>
  <c r="I206" i="5" s="1"/>
  <c r="D206" i="5"/>
  <c r="C206" i="5"/>
  <c r="G205" i="5"/>
  <c r="I205" i="5" s="1"/>
  <c r="D205" i="5"/>
  <c r="C205" i="5"/>
  <c r="G204" i="5"/>
  <c r="I204" i="5" s="1"/>
  <c r="D204" i="5"/>
  <c r="C204" i="5"/>
  <c r="G203" i="5"/>
  <c r="I203" i="5" s="1"/>
  <c r="D203" i="5"/>
  <c r="C203" i="5"/>
  <c r="G202" i="5"/>
  <c r="I202" i="5" s="1"/>
  <c r="D202" i="5"/>
  <c r="C202" i="5"/>
  <c r="G201" i="5"/>
  <c r="I201" i="5" s="1"/>
  <c r="D201" i="5"/>
  <c r="C201" i="5"/>
  <c r="G200" i="5"/>
  <c r="I200" i="5" s="1"/>
  <c r="D200" i="5"/>
  <c r="C200" i="5"/>
  <c r="G199" i="5"/>
  <c r="I199" i="5" s="1"/>
  <c r="D199" i="5"/>
  <c r="C199" i="5"/>
  <c r="G198" i="5"/>
  <c r="I198" i="5" s="1"/>
  <c r="D198" i="5"/>
  <c r="C198" i="5"/>
  <c r="G197" i="5"/>
  <c r="I197" i="5" s="1"/>
  <c r="D197" i="5"/>
  <c r="C197" i="5"/>
  <c r="G196" i="5"/>
  <c r="I196" i="5" s="1"/>
  <c r="D196" i="5"/>
  <c r="C196" i="5"/>
  <c r="G195" i="5"/>
  <c r="I195" i="5" s="1"/>
  <c r="D195" i="5"/>
  <c r="C195" i="5"/>
  <c r="G194" i="5"/>
  <c r="I194" i="5" s="1"/>
  <c r="D194" i="5"/>
  <c r="C194" i="5"/>
  <c r="G193" i="5"/>
  <c r="I193" i="5" s="1"/>
  <c r="D193" i="5"/>
  <c r="C193" i="5"/>
  <c r="G192" i="5"/>
  <c r="I192" i="5" s="1"/>
  <c r="D192" i="5"/>
  <c r="C192" i="5"/>
  <c r="G191" i="5"/>
  <c r="I191" i="5" s="1"/>
  <c r="D191" i="5"/>
  <c r="C191" i="5"/>
  <c r="G190" i="5"/>
  <c r="I190" i="5" s="1"/>
  <c r="D190" i="5"/>
  <c r="C190" i="5"/>
  <c r="G189" i="5"/>
  <c r="I189" i="5" s="1"/>
  <c r="D189" i="5"/>
  <c r="C189" i="5"/>
  <c r="G188" i="5"/>
  <c r="I188" i="5" s="1"/>
  <c r="D188" i="5"/>
  <c r="C188" i="5"/>
  <c r="G187" i="5"/>
  <c r="I187" i="5" s="1"/>
  <c r="D187" i="5"/>
  <c r="C187" i="5"/>
  <c r="G186" i="5"/>
  <c r="I186" i="5" s="1"/>
  <c r="D186" i="5"/>
  <c r="C186" i="5"/>
  <c r="G185" i="5"/>
  <c r="I185" i="5" s="1"/>
  <c r="D185" i="5"/>
  <c r="C185" i="5"/>
  <c r="G184" i="5"/>
  <c r="I184" i="5" s="1"/>
  <c r="D184" i="5"/>
  <c r="C184" i="5"/>
  <c r="G183" i="5"/>
  <c r="I183" i="5" s="1"/>
  <c r="D183" i="5"/>
  <c r="C183" i="5"/>
  <c r="G182" i="5"/>
  <c r="I182" i="5" s="1"/>
  <c r="D182" i="5"/>
  <c r="C182" i="5"/>
  <c r="G181" i="5"/>
  <c r="I181" i="5" s="1"/>
  <c r="D181" i="5"/>
  <c r="C181" i="5"/>
  <c r="G180" i="5"/>
  <c r="I180" i="5" s="1"/>
  <c r="D180" i="5"/>
  <c r="C180" i="5"/>
  <c r="G179" i="5"/>
  <c r="I179" i="5" s="1"/>
  <c r="D179" i="5"/>
  <c r="C179" i="5"/>
  <c r="G178" i="5"/>
  <c r="I178" i="5" s="1"/>
  <c r="D178" i="5"/>
  <c r="C178" i="5"/>
  <c r="G177" i="5"/>
  <c r="I177" i="5" s="1"/>
  <c r="D177" i="5"/>
  <c r="C177" i="5"/>
  <c r="G176" i="5"/>
  <c r="I176" i="5" s="1"/>
  <c r="D176" i="5"/>
  <c r="C176" i="5"/>
  <c r="G175" i="5"/>
  <c r="I175" i="5" s="1"/>
  <c r="D175" i="5"/>
  <c r="C175" i="5"/>
  <c r="G174" i="5"/>
  <c r="I174" i="5" s="1"/>
  <c r="D174" i="5"/>
  <c r="C174" i="5"/>
  <c r="G173" i="5"/>
  <c r="I173" i="5" s="1"/>
  <c r="D173" i="5"/>
  <c r="C173" i="5"/>
  <c r="G172" i="5"/>
  <c r="I172" i="5" s="1"/>
  <c r="D172" i="5"/>
  <c r="C172" i="5"/>
  <c r="G171" i="5"/>
  <c r="I171" i="5" s="1"/>
  <c r="D171" i="5"/>
  <c r="C171" i="5"/>
  <c r="G170" i="5"/>
  <c r="I170" i="5" s="1"/>
  <c r="D170" i="5"/>
  <c r="C170" i="5"/>
  <c r="G169" i="5"/>
  <c r="I169" i="5" s="1"/>
  <c r="D169" i="5"/>
  <c r="C169" i="5"/>
  <c r="G168" i="5"/>
  <c r="I168" i="5" s="1"/>
  <c r="D168" i="5"/>
  <c r="C168" i="5"/>
  <c r="G167" i="5"/>
  <c r="I167" i="5" s="1"/>
  <c r="D167" i="5"/>
  <c r="C167" i="5"/>
  <c r="G166" i="5"/>
  <c r="I166" i="5" s="1"/>
  <c r="D166" i="5"/>
  <c r="C166" i="5"/>
  <c r="G165" i="5"/>
  <c r="I165" i="5" s="1"/>
  <c r="D165" i="5"/>
  <c r="C165" i="5"/>
  <c r="G164" i="5"/>
  <c r="I164" i="5" s="1"/>
  <c r="D164" i="5"/>
  <c r="C164" i="5"/>
  <c r="G163" i="5"/>
  <c r="I163" i="5" s="1"/>
  <c r="D163" i="5"/>
  <c r="C163" i="5"/>
  <c r="G162" i="5"/>
  <c r="I162" i="5" s="1"/>
  <c r="D162" i="5"/>
  <c r="C162" i="5"/>
  <c r="G161" i="5"/>
  <c r="I161" i="5" s="1"/>
  <c r="D161" i="5"/>
  <c r="C161" i="5"/>
  <c r="G160" i="5"/>
  <c r="I160" i="5" s="1"/>
  <c r="D160" i="5"/>
  <c r="C160" i="5"/>
  <c r="G159" i="5"/>
  <c r="I159" i="5" s="1"/>
  <c r="D159" i="5"/>
  <c r="C159" i="5"/>
  <c r="G158" i="5"/>
  <c r="I158" i="5" s="1"/>
  <c r="D158" i="5"/>
  <c r="C158" i="5"/>
  <c r="G157" i="5"/>
  <c r="I157" i="5" s="1"/>
  <c r="D157" i="5"/>
  <c r="C157" i="5"/>
  <c r="G156" i="5"/>
  <c r="I156" i="5" s="1"/>
  <c r="D156" i="5"/>
  <c r="C156" i="5"/>
  <c r="G155" i="5"/>
  <c r="I155" i="5" s="1"/>
  <c r="D155" i="5"/>
  <c r="C155" i="5"/>
  <c r="G154" i="5"/>
  <c r="I154" i="5" s="1"/>
  <c r="D154" i="5"/>
  <c r="C154" i="5"/>
  <c r="G153" i="5"/>
  <c r="I153" i="5" s="1"/>
  <c r="D153" i="5"/>
  <c r="C153" i="5"/>
  <c r="G152" i="5"/>
  <c r="I152" i="5" s="1"/>
  <c r="D152" i="5"/>
  <c r="C152" i="5"/>
  <c r="G151" i="5"/>
  <c r="I151" i="5" s="1"/>
  <c r="D151" i="5"/>
  <c r="C151" i="5"/>
  <c r="G150" i="5"/>
  <c r="I150" i="5" s="1"/>
  <c r="D150" i="5"/>
  <c r="C150" i="5"/>
  <c r="G149" i="5"/>
  <c r="I149" i="5" s="1"/>
  <c r="D149" i="5"/>
  <c r="C149" i="5"/>
  <c r="G148" i="5"/>
  <c r="I148" i="5" s="1"/>
  <c r="D148" i="5"/>
  <c r="C148" i="5"/>
  <c r="G147" i="5"/>
  <c r="I147" i="5" s="1"/>
  <c r="D147" i="5"/>
  <c r="C147" i="5"/>
  <c r="G146" i="5"/>
  <c r="I146" i="5" s="1"/>
  <c r="D146" i="5"/>
  <c r="C146" i="5"/>
  <c r="K145" i="5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G145" i="5"/>
  <c r="I145" i="5" s="1"/>
  <c r="D145" i="5"/>
  <c r="C145" i="5"/>
  <c r="G41" i="5"/>
  <c r="I41" i="5" s="1"/>
  <c r="C41" i="5"/>
  <c r="G40" i="5"/>
  <c r="I40" i="5" s="1"/>
  <c r="C40" i="5"/>
  <c r="G39" i="5"/>
  <c r="I39" i="5" s="1"/>
  <c r="C39" i="5"/>
  <c r="G38" i="5"/>
  <c r="I38" i="5" s="1"/>
  <c r="C38" i="5"/>
  <c r="G37" i="5"/>
  <c r="I37" i="5" s="1"/>
  <c r="C37" i="5"/>
  <c r="G36" i="5"/>
  <c r="I36" i="5" s="1"/>
  <c r="C36" i="5"/>
  <c r="G35" i="5"/>
  <c r="I35" i="5" s="1"/>
  <c r="C35" i="5"/>
  <c r="G34" i="5"/>
  <c r="I34" i="5" s="1"/>
  <c r="C34" i="5"/>
  <c r="G33" i="5"/>
  <c r="I33" i="5" s="1"/>
  <c r="C33" i="5"/>
  <c r="G32" i="5"/>
  <c r="I32" i="5" s="1"/>
  <c r="C32" i="5"/>
  <c r="G31" i="5"/>
  <c r="I31" i="5" s="1"/>
  <c r="C31" i="5"/>
  <c r="G30" i="5"/>
  <c r="I30" i="5" s="1"/>
  <c r="C30" i="5"/>
  <c r="G29" i="5"/>
  <c r="I29" i="5" s="1"/>
  <c r="C29" i="5"/>
  <c r="G28" i="5"/>
  <c r="I28" i="5" s="1"/>
  <c r="C28" i="5"/>
  <c r="G27" i="5"/>
  <c r="I27" i="5" s="1"/>
  <c r="C27" i="5"/>
  <c r="G26" i="5"/>
  <c r="I26" i="5" s="1"/>
  <c r="C26" i="5"/>
  <c r="G25" i="5"/>
  <c r="I25" i="5" s="1"/>
  <c r="C25" i="5"/>
  <c r="G24" i="5"/>
  <c r="I24" i="5" s="1"/>
  <c r="C24" i="5"/>
  <c r="G23" i="5"/>
  <c r="I23" i="5" s="1"/>
  <c r="C23" i="5"/>
  <c r="G22" i="5"/>
  <c r="I22" i="5" s="1"/>
  <c r="C22" i="5"/>
  <c r="G21" i="5"/>
  <c r="I21" i="5" s="1"/>
  <c r="C21" i="5"/>
  <c r="G20" i="5"/>
  <c r="I20" i="5" s="1"/>
  <c r="C20" i="5"/>
  <c r="G19" i="5"/>
  <c r="I19" i="5" s="1"/>
  <c r="C19" i="5"/>
  <c r="G18" i="5"/>
  <c r="I18" i="5" s="1"/>
  <c r="C18" i="5"/>
  <c r="G17" i="5"/>
  <c r="I17" i="5" s="1"/>
  <c r="C17" i="5"/>
  <c r="G16" i="5"/>
  <c r="I16" i="5" s="1"/>
  <c r="C16" i="5"/>
  <c r="K9" i="4" l="1"/>
  <c r="C17" i="9" s="1"/>
  <c r="J8" i="4"/>
  <c r="K8" i="4"/>
  <c r="C16" i="9" s="1"/>
  <c r="J9" i="4"/>
  <c r="J8" i="5"/>
  <c r="K8" i="5"/>
  <c r="C15" i="9" s="1"/>
  <c r="C19" i="9" l="1"/>
  <c r="B16" i="9"/>
  <c r="L8" i="4"/>
  <c r="B17" i="9"/>
  <c r="E17" i="9" s="1"/>
  <c r="L9" i="4"/>
  <c r="L8" i="5"/>
  <c r="B15" i="9"/>
  <c r="E15" i="9" s="1"/>
  <c r="E16" i="9" l="1"/>
  <c r="B19" i="9"/>
  <c r="E19" i="9" s="1"/>
  <c r="L10" i="4"/>
  <c r="E20" i="9" l="1"/>
</calcChain>
</file>

<file path=xl/sharedStrings.xml><?xml version="1.0" encoding="utf-8"?>
<sst xmlns="http://schemas.openxmlformats.org/spreadsheetml/2006/main" count="692" uniqueCount="235">
  <si>
    <r>
      <rPr>
        <sz val="55"/>
        <color rgb="FFFF0000"/>
        <rFont val="Stencil"/>
        <family val="5"/>
      </rPr>
      <t>PERHATIAN...</t>
    </r>
    <r>
      <rPr>
        <sz val="48"/>
        <color theme="3" tint="-0.499984740745262"/>
        <rFont val="Stencil"/>
        <family val="5"/>
      </rPr>
      <t xml:space="preserve"> UNTUK MENGISI DATA ATLET ADA  DI SHEET OPEN, dan FESTIVAL YANG DIISI HANYA KOLOM YG BERWARNA </t>
    </r>
    <r>
      <rPr>
        <sz val="72"/>
        <color rgb="FFFF0000"/>
        <rFont val="Stencil"/>
        <family val="5"/>
      </rPr>
      <t>KUNING</t>
    </r>
    <r>
      <rPr>
        <sz val="48"/>
        <color theme="3" tint="-0.499984740745262"/>
        <rFont val="Stencil"/>
        <family val="5"/>
      </rPr>
      <t xml:space="preserve">       UNTUK NO KELAS DIISI SESUAI TABEL KELAS DISAMPING....           TERIMA KASIH</t>
    </r>
  </si>
  <si>
    <t>OPEN</t>
  </si>
  <si>
    <t>FESTIVAL</t>
  </si>
  <si>
    <t>NO KELAS</t>
  </si>
  <si>
    <t>KELAS</t>
  </si>
  <si>
    <t>KATA PERORANGAN PRA USIA DINI PUTRA</t>
  </si>
  <si>
    <t>F1</t>
  </si>
  <si>
    <t>KATA PERORANGAN PRA USIA DINI PUTRI</t>
  </si>
  <si>
    <t>F2</t>
  </si>
  <si>
    <t>F3</t>
  </si>
  <si>
    <t>F4</t>
  </si>
  <si>
    <t>F5</t>
  </si>
  <si>
    <t>F6</t>
  </si>
  <si>
    <t>KATA PERORANGAN USIA DINI PUTRA</t>
  </si>
  <si>
    <t>F7</t>
  </si>
  <si>
    <t>KATA PERORANGAN USIA DINI PUTRI</t>
  </si>
  <si>
    <t>F8</t>
  </si>
  <si>
    <t>F9</t>
  </si>
  <si>
    <t>F10</t>
  </si>
  <si>
    <t>F11</t>
  </si>
  <si>
    <t>KUMITE -30 KG USIA DINI PUTRA</t>
  </si>
  <si>
    <t>F12</t>
  </si>
  <si>
    <t>KUMITE +30 KG USIA DINI PUTRA</t>
  </si>
  <si>
    <t>F13</t>
  </si>
  <si>
    <t>KUMITE -25 KG USIA DINI PUTRI</t>
  </si>
  <si>
    <t>F14</t>
  </si>
  <si>
    <t>F15</t>
  </si>
  <si>
    <t>F16</t>
  </si>
  <si>
    <t>KATA PERORANGAN PRA PEMULA PUTRA</t>
  </si>
  <si>
    <t>F17</t>
  </si>
  <si>
    <t>KATA PERORANGAN PRA PEMULA PUTRI</t>
  </si>
  <si>
    <t>F18</t>
  </si>
  <si>
    <t>KATA BEREGU PRA PEMULA PUTRA</t>
  </si>
  <si>
    <t>F19</t>
  </si>
  <si>
    <t>KATA BEREGU PRA PEMULA PUTRI</t>
  </si>
  <si>
    <t>F20</t>
  </si>
  <si>
    <t>KUMITE -35 KG PRA PEMULA PUTRA</t>
  </si>
  <si>
    <t>F21</t>
  </si>
  <si>
    <t>KUMITE +35 KG PRA PEMULA PUTRA</t>
  </si>
  <si>
    <t>F22</t>
  </si>
  <si>
    <t>KATA PERORANGAN SMP/MTS PUTRI</t>
  </si>
  <si>
    <t>KUMITE -30 KG PRA PEMULA PUTRI</t>
  </si>
  <si>
    <t>F23</t>
  </si>
  <si>
    <t>KUMITE +30 KG PRA PEMULA PUTRI</t>
  </si>
  <si>
    <t>F24</t>
  </si>
  <si>
    <t>KATA PERORANGAN PEMULA PUTRA</t>
  </si>
  <si>
    <t>F25</t>
  </si>
  <si>
    <t>KATA PERORANGAN PEMULA PUTRI</t>
  </si>
  <si>
    <t>F26</t>
  </si>
  <si>
    <t>KATA BEREGU PEMULA PUTRA</t>
  </si>
  <si>
    <t>F27</t>
  </si>
  <si>
    <t>KATA BEREGU PEMULA PUTRI</t>
  </si>
  <si>
    <t>F28</t>
  </si>
  <si>
    <t>KUMITE -40 KG PEMULA PUTRA</t>
  </si>
  <si>
    <t>F29</t>
  </si>
  <si>
    <t>KUMITE -45 KG PEMULA PUTRA</t>
  </si>
  <si>
    <t>F30</t>
  </si>
  <si>
    <t>KUMITE -50 KG PEMULA PUTRA</t>
  </si>
  <si>
    <t>F31</t>
  </si>
  <si>
    <t>F32</t>
  </si>
  <si>
    <t>F33</t>
  </si>
  <si>
    <t>KUMITE -40 KG PEMULA PUTRI</t>
  </si>
  <si>
    <t>F34</t>
  </si>
  <si>
    <t>KUMITE -45 KG PEMULA PUTRI</t>
  </si>
  <si>
    <t>F35</t>
  </si>
  <si>
    <t>F36</t>
  </si>
  <si>
    <t>KATA PERORANGAN KADET PUTRA</t>
  </si>
  <si>
    <t>F37</t>
  </si>
  <si>
    <t>KATA PERORANGAN KADET PUTRI</t>
  </si>
  <si>
    <t>F38</t>
  </si>
  <si>
    <t>KATA BEREGU KADET PUTRA</t>
  </si>
  <si>
    <t>F39</t>
  </si>
  <si>
    <t>KATA BEREGU KADET PUTRI</t>
  </si>
  <si>
    <t>F40</t>
  </si>
  <si>
    <t>KUMITE -52 KG KADET PUTRA</t>
  </si>
  <si>
    <t>F41</t>
  </si>
  <si>
    <t>KUMITE -57 KG KADET PUTRA</t>
  </si>
  <si>
    <t>F42</t>
  </si>
  <si>
    <t>KUMITE -63 KG KADET PUTRA</t>
  </si>
  <si>
    <t>KUMITE -70 KG KADET PUTRA</t>
  </si>
  <si>
    <t>KUMITE +70 KG KADET PUTRA</t>
  </si>
  <si>
    <t>KUMITE -47 KG KADET PUTRI</t>
  </si>
  <si>
    <t>KUMITE -54 KG KADET PUTRI</t>
  </si>
  <si>
    <t>KATA PERORANGAN JUNIOR PUTRA</t>
  </si>
  <si>
    <t>KATA PERORANGAN JUNIOR PUTRI</t>
  </si>
  <si>
    <t>KATA BEREGU JUNIOR PUTRA</t>
  </si>
  <si>
    <t>KATA BEREGU JUNIOR PUTRI</t>
  </si>
  <si>
    <t>KUMITE -55 KG JUNIOR PUTRA</t>
  </si>
  <si>
    <t>KUMITE -48 KG JUNIOR PUTRI</t>
  </si>
  <si>
    <t>KUMITE -53 KG JUNIOR PUTRI</t>
  </si>
  <si>
    <t>KUMITE -59 KG JUNIOR PUTRI</t>
  </si>
  <si>
    <t>KATA PERORANGAN UNDER-21 PUTRA</t>
  </si>
  <si>
    <t>KATA PERORANGAN UNDER-21 PUTRI</t>
  </si>
  <si>
    <t>KATA BEREGU UNDER-21 PUTRA</t>
  </si>
  <si>
    <t>KATA BEREGU UNDER-21 PUTRI</t>
  </si>
  <si>
    <t>KUMITE -55 KG UNDER-21 PUTRA</t>
  </si>
  <si>
    <t>KUMITE -60 KG UNDER-21 PUTRA</t>
  </si>
  <si>
    <t>KUMITE -67 KG UNDER-21 PUTRA</t>
  </si>
  <si>
    <t>KUMITE -75 KG UNDER-21 PUTRA</t>
  </si>
  <si>
    <t>KUMITE -84 KG UNDER-21 PUTRA</t>
  </si>
  <si>
    <t>KUMITE +84 KG UNDER-21 PUTRA</t>
  </si>
  <si>
    <t>KUMITE -50 KG UNDER-21 PUTRI</t>
  </si>
  <si>
    <t>KUMITE -55 KG UNDER-21 PUTRI</t>
  </si>
  <si>
    <t>KUMITE -61 KG UNDER-21 PUTRI</t>
  </si>
  <si>
    <t>KUMITE -68 KG UNDER-21 PUTRI</t>
  </si>
  <si>
    <t>KUMITE +68 KG UNDER-21 PUTRI</t>
  </si>
  <si>
    <t>KATA PERORANGAN SENIOR PUTRA</t>
  </si>
  <si>
    <t>KATA PERORANGAN SENIOR PUTRI</t>
  </si>
  <si>
    <t>KATA BEREGU SENIOR PUTRA</t>
  </si>
  <si>
    <t>KATA BEREGU SENIOR PUTRI</t>
  </si>
  <si>
    <t>KUMITE -55 KG SENIOR PUTRA</t>
  </si>
  <si>
    <t>KUMITE -60 KG SENIOR PUTRA</t>
  </si>
  <si>
    <t>KUMITE -67 KG SENIOR PUTRA</t>
  </si>
  <si>
    <t>KUMITE -75 KG SENIOR PUTRA</t>
  </si>
  <si>
    <t>KUMITE -84 KG SENIOR PUTRA</t>
  </si>
  <si>
    <t>KUMITE +84 KG SENIOR PUTRA</t>
  </si>
  <si>
    <t>KUMITE -50 KG SENIOR PUTRI</t>
  </si>
  <si>
    <t>KUMITE -55 KG SENIOR PUTRI</t>
  </si>
  <si>
    <t>KUMITE -61 KG SENIOR PUTRI</t>
  </si>
  <si>
    <t>KUMITE -68 KG SENIOR PUTRI</t>
  </si>
  <si>
    <t>KUMITE +68 KG SENIOR PUTRI</t>
  </si>
  <si>
    <t>NAMA KONTINGEN</t>
  </si>
  <si>
    <t>:</t>
  </si>
  <si>
    <t>JML KELAS</t>
  </si>
  <si>
    <t>L</t>
  </si>
  <si>
    <t>P</t>
  </si>
  <si>
    <t>TOTAL</t>
  </si>
  <si>
    <t>KOTA/KAB KONTINGEN</t>
  </si>
  <si>
    <t>PERORANGAN</t>
  </si>
  <si>
    <t>NAMA MANAGER</t>
  </si>
  <si>
    <t>NO. TELP/WA</t>
  </si>
  <si>
    <t>FORM FESTIVAL</t>
  </si>
  <si>
    <t>NO. URUT</t>
  </si>
  <si>
    <t>NO. KELAS</t>
  </si>
  <si>
    <t>KELAS PERTANDINGAN</t>
  </si>
  <si>
    <t>LP</t>
  </si>
  <si>
    <t>NAMA LENGKAP</t>
  </si>
  <si>
    <t>TGL LAHIR</t>
  </si>
  <si>
    <t>KATEGORI</t>
  </si>
  <si>
    <t>BERAT
(Kg)</t>
  </si>
  <si>
    <t>KONTINGEN</t>
  </si>
  <si>
    <t>(OTOMATIS)</t>
  </si>
  <si>
    <t>( HURUF BALOK )</t>
  </si>
  <si>
    <t>PRA USIA DINI</t>
  </si>
  <si>
    <t>USIA DINI</t>
  </si>
  <si>
    <t>PRA PEMULA</t>
  </si>
  <si>
    <t>PEMULA</t>
  </si>
  <si>
    <t>KADET</t>
  </si>
  <si>
    <t>JUNIOR</t>
  </si>
  <si>
    <t>UNDER-21</t>
  </si>
  <si>
    <t>SENIOR</t>
  </si>
  <si>
    <t>FORM OPEN</t>
  </si>
  <si>
    <t>L/P</t>
  </si>
  <si>
    <t>KONTINGEN    :</t>
  </si>
  <si>
    <t>ID CARD</t>
  </si>
  <si>
    <t>Jumlah Atlit Putra</t>
  </si>
  <si>
    <t>Jumlah Official</t>
  </si>
  <si>
    <t>REKAP ADMINISTRASI</t>
  </si>
  <si>
    <t>PUTRA</t>
  </si>
  <si>
    <t>PUTRI</t>
  </si>
  <si>
    <t>SATUAN</t>
  </si>
  <si>
    <t>Jumlah</t>
  </si>
  <si>
    <t>Festival</t>
  </si>
  <si>
    <t>Perorangan Open</t>
  </si>
  <si>
    <t>Total Keseluruhan</t>
  </si>
  <si>
    <t>KUMITE BEBAS PRA USIA DINI PUTRA</t>
  </si>
  <si>
    <t>KUMITE BEBAS PRA USIA DINI PUTRI</t>
  </si>
  <si>
    <t>KUMITE +25 KG USIA DINI PUTRI</t>
  </si>
  <si>
    <t>KUMITE -30 KG PRA PEMULA PUTRA</t>
  </si>
  <si>
    <t>KUMITE -25 KG PRA PEMULA PUTRI</t>
  </si>
  <si>
    <t>KUMITE -55 KG PEMULA PUTRA</t>
  </si>
  <si>
    <t>KUMITE +55 KG PEMULA PUTRA</t>
  </si>
  <si>
    <t>KUMITE -52 KG PEMULA PUTRI</t>
  </si>
  <si>
    <t>KUMITE +52 KG PEMULA PUTRI</t>
  </si>
  <si>
    <t>KUMITE -61 KG KADET PUTRI</t>
  </si>
  <si>
    <t>KUMITE +61 KG KADET PUTRI</t>
  </si>
  <si>
    <t>KUMITE -66 KG JUNIOR PUTRI</t>
  </si>
  <si>
    <t>KUMITE +66 KG JUNIOR PUTRI</t>
  </si>
  <si>
    <t>KATA PERORANGAN PAUD/TK PUTRA</t>
  </si>
  <si>
    <t>KATA PERORANGAN PAUD/TK PUTRI</t>
  </si>
  <si>
    <t>KUMITE -25 KG PAUD/TK PUTRA</t>
  </si>
  <si>
    <t>KUMITE +25 KG PAUD/TK PUTRA</t>
  </si>
  <si>
    <t>KUMITE -25 KG PAUD/TK PUTRI</t>
  </si>
  <si>
    <t>KUMITE +25 KG PAUD/TK PUTRI</t>
  </si>
  <si>
    <t>KATA PERORANGAN SD 1-3 PUTRA</t>
  </si>
  <si>
    <t>KATA PERORANGAN SD 1-3 PUTRI</t>
  </si>
  <si>
    <t>KUMITE -25 KG SD 1-3 PUTRI</t>
  </si>
  <si>
    <t>KUMITE +25 KG SD 1-3 PUTRI</t>
  </si>
  <si>
    <t>KUMITE -25 KG SD 1-3 PUTRA</t>
  </si>
  <si>
    <t>KUMITE +25 KG SD 1-3 PUTRA</t>
  </si>
  <si>
    <t>KATA PERORANGAN SD 4-6 PUTRA</t>
  </si>
  <si>
    <t>KATA PERORANGAN SD 4-6 PUTRI</t>
  </si>
  <si>
    <t>KUMITE -30 KG SD 4-6 PUTRA</t>
  </si>
  <si>
    <t>KUMITE +30 KG SD 4-6 PUTRA</t>
  </si>
  <si>
    <t>KUMITE -30 KG SD 4-6 PUTRI</t>
  </si>
  <si>
    <t>KUMITE +30 KG SD 4-6 PUTRI</t>
  </si>
  <si>
    <t>KATA PERORANGAN SMP/MTS PUTRA</t>
  </si>
  <si>
    <t>KUMITE - 35 KG SMP/MTS PUTRA</t>
  </si>
  <si>
    <t>KUMITE + 40 KG SMP/MTS PUTRA</t>
  </si>
  <si>
    <t>KUMITE - 35 KG SMP/MTS PUTRI</t>
  </si>
  <si>
    <t>KUMITE + 40 KG SMP/MTS PUTRI</t>
  </si>
  <si>
    <t>KATA PERORANGAN SMA/SMK/MA PUTRA</t>
  </si>
  <si>
    <t>KATA PERORANGAN SMA/SMK/MA PUTRI</t>
  </si>
  <si>
    <t>KUMITE - 45 KG SMA/SMK/MA PUTRA</t>
  </si>
  <si>
    <t>KUMITE - 50 KG SMA/SMK/MA PUTRA</t>
  </si>
  <si>
    <t>KUMITE + 50 KG SMA/SMK/MA PUTRA</t>
  </si>
  <si>
    <t>KUMITE - 45 KG SMA/SMK/MA PUTRI</t>
  </si>
  <si>
    <t>KUMITE - 50 KG SMA/SMK/MA PUTRI</t>
  </si>
  <si>
    <t>KUMITE + 50 KG SMA/SMK/MA PUTRI</t>
  </si>
  <si>
    <t>KATA PERORANGAN MAHASISWA/UMUM PUTRA</t>
  </si>
  <si>
    <t>KATA PERORANGAN MAHASISWA/UMUM PUTRI</t>
  </si>
  <si>
    <t>KUMITE - 50 KG MAHASISWA/UMUM PUTRA</t>
  </si>
  <si>
    <t>KUMITE - 50 KG MAHASISWA/UMUM PUTRI</t>
  </si>
  <si>
    <t>KUMITE - 55 KG MAHASISWA/UMUM PUTRA</t>
  </si>
  <si>
    <t>KUMITE + 55 KG MAHASISWA/UMUM PUTRA</t>
  </si>
  <si>
    <t>KUMITE - 55 KG MAHASISWA/UMUM PUTRI</t>
  </si>
  <si>
    <t>KUMITE + 55 KG MAHASISWA/UMUM PUTRI</t>
  </si>
  <si>
    <t>KUMITE - 40 KG SMP/MTS PUTRA</t>
  </si>
  <si>
    <t>KUMITE - 40 KG SMP/MTS PUTRI</t>
  </si>
  <si>
    <t>PAUD/TK</t>
  </si>
  <si>
    <t>SMP/MTS</t>
  </si>
  <si>
    <t>SD/MI 1-3</t>
  </si>
  <si>
    <t>SD/MI 4-6</t>
  </si>
  <si>
    <t>SMA/SMK/MA</t>
  </si>
  <si>
    <t>MAHASISWA/UMUM</t>
  </si>
  <si>
    <t xml:space="preserve"> BEREGU</t>
  </si>
  <si>
    <t>Beregu Open</t>
  </si>
  <si>
    <t>(MM/DD/YYYY)</t>
  </si>
  <si>
    <t>CASHBACK</t>
  </si>
  <si>
    <t>KUMITE -61 KG JUNIOR PUTRA</t>
  </si>
  <si>
    <t>KUMITE -68 KG JUNIOR PUTRA</t>
  </si>
  <si>
    <t>KUMITE -76 KG JUNIOR PUTRA</t>
  </si>
  <si>
    <t>KUMITE +76 KG JUNIOR PUTRA</t>
  </si>
  <si>
    <t>KATA BEREGU USIA DINI PUTRA</t>
  </si>
  <si>
    <t>KATA BEREGU USIA DINI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</si>
</sst>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Rp&quot;* #,##0.00_-;\-&quot;Rp&quot;* #,##0.00_-;_-&quot;Rp&quot;* &quot;-&quot;??_-;_-@_-"/>
    <numFmt numFmtId="165" formatCode="_-[$Rp-421]* #,##0_-;\-[$Rp-421]* #,##0_-;_-[$Rp-421]* &quot;-&quot;_-;_-@_-"/>
    <numFmt numFmtId="166" formatCode="&quot;Wa.&quot;\ @"/>
    <numFmt numFmtId="167" formatCode="dd/mm/yyyy;@"/>
    <numFmt numFmtId="168" formatCode="@\ &quot;Kg&quot;"/>
    <numFmt numFmtId="169" formatCode="yyyy\-mm\-dd;@"/>
    <numFmt numFmtId="170" formatCode="@&quot; FESTIVAL&quot;"/>
    <numFmt numFmtId="171" formatCode="@\ &quot;FESTIVAL&quot;"/>
  </numFmts>
  <fonts count="58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doni MT Black"/>
      <family val="1"/>
    </font>
    <font>
      <b/>
      <sz val="10"/>
      <color theme="1"/>
      <name val="Bodoni MT Black"/>
      <family val="1"/>
    </font>
    <font>
      <sz val="8"/>
      <color theme="1"/>
      <name val="Bodoni MT Black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Arial Black"/>
      <family val="2"/>
    </font>
    <font>
      <sz val="12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Bodoni MT Black"/>
      <family val="1"/>
    </font>
    <font>
      <sz val="12"/>
      <color theme="1"/>
      <name val="Falcon Punch"/>
      <charset val="134"/>
    </font>
    <font>
      <sz val="24"/>
      <color theme="0"/>
      <name val="Falcon Punch"/>
      <charset val="134"/>
    </font>
    <font>
      <b/>
      <sz val="16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4"/>
      <color theme="1"/>
      <name val="Falcon Punch"/>
      <charset val="134"/>
    </font>
    <font>
      <sz val="9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theme="1"/>
      <name val="Arial Black"/>
      <family val="2"/>
    </font>
    <font>
      <sz val="11"/>
      <name val="Cambria"/>
      <family val="1"/>
      <scheme val="major"/>
    </font>
    <font>
      <sz val="11"/>
      <name val="Arial Black"/>
      <family val="2"/>
    </font>
    <font>
      <sz val="9"/>
      <name val="Calibri"/>
      <family val="2"/>
      <scheme val="minor"/>
    </font>
    <font>
      <sz val="10"/>
      <name val="Franklin Gothic Medium"/>
      <family val="2"/>
    </font>
    <font>
      <sz val="9"/>
      <name val="Franklin Gothic Medium"/>
      <family val="2"/>
    </font>
    <font>
      <sz val="9"/>
      <color theme="0"/>
      <name val="Franklin Gothic Medium"/>
      <family val="2"/>
    </font>
    <font>
      <sz val="12"/>
      <color theme="1"/>
      <name val="Franklin Gothic Medium"/>
      <family val="2"/>
    </font>
    <font>
      <b/>
      <sz val="12"/>
      <color rgb="FFFF0000"/>
      <name val="Franklin Gothic Medium"/>
      <family val="2"/>
    </font>
    <font>
      <b/>
      <sz val="24"/>
      <color theme="0"/>
      <name val="Arial Black"/>
      <family val="2"/>
    </font>
    <font>
      <sz val="16"/>
      <color theme="1"/>
      <name val="Cambria"/>
      <family val="1"/>
      <scheme val="major"/>
    </font>
    <font>
      <b/>
      <sz val="28"/>
      <color theme="1"/>
      <name val="Bodoni MT Black"/>
      <family val="1"/>
    </font>
    <font>
      <sz val="48"/>
      <color theme="3" tint="-0.499984740745262"/>
      <name val="Stencil"/>
      <family val="5"/>
    </font>
    <font>
      <b/>
      <sz val="20"/>
      <color theme="1"/>
      <name val="Calibri"/>
      <family val="2"/>
      <scheme val="minor"/>
    </font>
    <font>
      <b/>
      <sz val="28"/>
      <color theme="3" tint="-0.499984740745262"/>
      <name val="Arial Black"/>
      <family val="2"/>
    </font>
    <font>
      <b/>
      <sz val="28"/>
      <color theme="0"/>
      <name val="Arial Black"/>
      <family val="2"/>
    </font>
    <font>
      <b/>
      <sz val="28"/>
      <color theme="1"/>
      <name val="Arial Black"/>
      <family val="2"/>
    </font>
    <font>
      <b/>
      <sz val="13"/>
      <color theme="1"/>
      <name val="Arial Black"/>
      <family val="2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sz val="11"/>
      <color indexed="8"/>
      <name val="Calibri"/>
      <family val="2"/>
    </font>
    <font>
      <sz val="55"/>
      <color rgb="FFFF0000"/>
      <name val="Stencil"/>
      <family val="5"/>
    </font>
    <font>
      <sz val="72"/>
      <color rgb="FFFF0000"/>
      <name val="Stencil"/>
      <family val="5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8"/>
      <name val="Calibri"/>
      <charset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C8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FF0000"/>
      </left>
      <right style="dashed">
        <color rgb="FFFF0000"/>
      </right>
      <top/>
      <bottom style="dashed">
        <color rgb="FFFF0000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2" fillId="0" borderId="0"/>
  </cellStyleXfs>
  <cellXfs count="21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 vertical="center"/>
    </xf>
    <xf numFmtId="0" fontId="4" fillId="0" borderId="0" xfId="1" applyAlignment="1">
      <alignment vertical="center"/>
    </xf>
    <xf numFmtId="0" fontId="4" fillId="0" borderId="0" xfId="1" applyAlignment="1">
      <alignment horizontal="center" vertical="center"/>
    </xf>
    <xf numFmtId="0" fontId="4" fillId="0" borderId="0" xfId="1" applyProtection="1">
      <protection hidden="1"/>
    </xf>
    <xf numFmtId="0" fontId="4" fillId="0" borderId="0" xfId="1"/>
    <xf numFmtId="0" fontId="9" fillId="0" borderId="0" xfId="1" applyFont="1" applyProtection="1">
      <protection hidden="1"/>
    </xf>
    <xf numFmtId="0" fontId="10" fillId="0" borderId="0" xfId="1" applyFont="1" applyAlignment="1" applyProtection="1">
      <alignment horizontal="left"/>
      <protection hidden="1"/>
    </xf>
    <xf numFmtId="0" fontId="3" fillId="0" borderId="0" xfId="1" applyFont="1" applyProtection="1">
      <protection hidden="1"/>
    </xf>
    <xf numFmtId="0" fontId="12" fillId="0" borderId="4" xfId="1" applyFont="1" applyBorder="1" applyAlignment="1" applyProtection="1">
      <alignment horizontal="left" vertical="center"/>
      <protection hidden="1"/>
    </xf>
    <xf numFmtId="0" fontId="10" fillId="3" borderId="4" xfId="1" applyFont="1" applyFill="1" applyBorder="1" applyAlignment="1" applyProtection="1">
      <alignment horizontal="center" vertical="center"/>
      <protection locked="0" hidden="1"/>
    </xf>
    <xf numFmtId="0" fontId="10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 vertical="center"/>
      <protection hidden="1"/>
    </xf>
    <xf numFmtId="0" fontId="8" fillId="0" borderId="0" xfId="1" applyFont="1" applyProtection="1">
      <protection hidden="1"/>
    </xf>
    <xf numFmtId="0" fontId="14" fillId="3" borderId="6" xfId="1" applyFont="1" applyFill="1" applyBorder="1" applyAlignment="1" applyProtection="1">
      <alignment horizontal="center" vertical="center"/>
      <protection hidden="1"/>
    </xf>
    <xf numFmtId="0" fontId="12" fillId="0" borderId="7" xfId="1" applyFont="1" applyBorder="1" applyAlignment="1" applyProtection="1">
      <alignment horizontal="left" vertical="center"/>
      <protection hidden="1"/>
    </xf>
    <xf numFmtId="0" fontId="14" fillId="0" borderId="7" xfId="1" applyFont="1" applyBorder="1" applyAlignment="1" applyProtection="1">
      <alignment horizontal="center" vertical="center"/>
      <protection hidden="1"/>
    </xf>
    <xf numFmtId="164" fontId="12" fillId="0" borderId="7" xfId="1" applyNumberFormat="1" applyFont="1" applyBorder="1" applyAlignment="1" applyProtection="1">
      <alignment horizontal="right" vertical="center"/>
      <protection hidden="1"/>
    </xf>
    <xf numFmtId="164" fontId="15" fillId="0" borderId="7" xfId="1" applyNumberFormat="1" applyFont="1" applyBorder="1" applyAlignment="1" applyProtection="1">
      <alignment horizontal="right" vertical="center"/>
      <protection hidden="1"/>
    </xf>
    <xf numFmtId="0" fontId="16" fillId="0" borderId="0" xfId="1" applyFont="1" applyAlignment="1" applyProtection="1">
      <alignment horizontal="right" vertical="center"/>
      <protection hidden="1"/>
    </xf>
    <xf numFmtId="165" fontId="16" fillId="0" borderId="0" xfId="1" applyNumberFormat="1" applyFont="1" applyAlignment="1" applyProtection="1">
      <alignment vertical="center"/>
      <protection hidden="1"/>
    </xf>
    <xf numFmtId="0" fontId="17" fillId="0" borderId="0" xfId="0" applyFont="1" applyAlignment="1">
      <alignment horizontal="center"/>
    </xf>
    <xf numFmtId="0" fontId="17" fillId="0" borderId="0" xfId="0" applyFont="1"/>
    <xf numFmtId="0" fontId="0" fillId="0" borderId="0" xfId="0" applyAlignment="1">
      <alignment vertical="center"/>
    </xf>
    <xf numFmtId="0" fontId="18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7" fillId="0" borderId="8" xfId="0" applyFont="1" applyBorder="1"/>
    <xf numFmtId="0" fontId="17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left" vertical="center"/>
    </xf>
    <xf numFmtId="0" fontId="10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0" fillId="6" borderId="12" xfId="2" applyFont="1" applyFill="1" applyBorder="1" applyAlignment="1">
      <alignment horizontal="center" vertical="center" wrapText="1"/>
    </xf>
    <xf numFmtId="0" fontId="10" fillId="6" borderId="14" xfId="2" applyFont="1" applyFill="1" applyBorder="1" applyAlignment="1">
      <alignment horizontal="center" vertical="center" wrapText="1"/>
    </xf>
    <xf numFmtId="0" fontId="14" fillId="6" borderId="11" xfId="2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/>
    </xf>
    <xf numFmtId="0" fontId="8" fillId="6" borderId="13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/>
    </xf>
    <xf numFmtId="167" fontId="28" fillId="0" borderId="0" xfId="0" applyNumberFormat="1" applyFont="1" applyAlignment="1">
      <alignment horizontal="center"/>
    </xf>
    <xf numFmtId="167" fontId="18" fillId="0" borderId="0" xfId="0" applyNumberFormat="1" applyFont="1"/>
    <xf numFmtId="0" fontId="22" fillId="0" borderId="8" xfId="0" applyFont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30" fillId="0" borderId="0" xfId="0" applyFont="1"/>
    <xf numFmtId="0" fontId="4" fillId="0" borderId="0" xfId="0" applyFont="1"/>
    <xf numFmtId="0" fontId="14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20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11" xfId="0" applyFont="1" applyBorder="1" applyAlignment="1">
      <alignment horizontal="center" vertical="center"/>
    </xf>
    <xf numFmtId="0" fontId="39" fillId="3" borderId="11" xfId="0" applyFont="1" applyFill="1" applyBorder="1" applyAlignment="1" applyProtection="1">
      <alignment horizontal="center" vertical="center"/>
      <protection locked="0"/>
    </xf>
    <xf numFmtId="0" fontId="39" fillId="0" borderId="11" xfId="0" applyFont="1" applyBorder="1" applyAlignment="1" applyProtection="1">
      <alignment horizontal="center" vertical="center"/>
      <protection hidden="1"/>
    </xf>
    <xf numFmtId="0" fontId="39" fillId="3" borderId="11" xfId="0" applyFont="1" applyFill="1" applyBorder="1" applyAlignment="1" applyProtection="1">
      <alignment horizontal="left" vertical="center"/>
      <protection locked="0"/>
    </xf>
    <xf numFmtId="167" fontId="39" fillId="3" borderId="11" xfId="0" applyNumberFormat="1" applyFont="1" applyFill="1" applyBorder="1" applyAlignment="1" applyProtection="1">
      <alignment horizontal="center"/>
      <protection locked="0"/>
    </xf>
    <xf numFmtId="0" fontId="39" fillId="0" borderId="7" xfId="0" applyFont="1" applyBorder="1" applyAlignment="1">
      <alignment horizontal="center" vertical="center"/>
    </xf>
    <xf numFmtId="0" fontId="39" fillId="3" borderId="7" xfId="0" applyFont="1" applyFill="1" applyBorder="1" applyAlignment="1" applyProtection="1">
      <alignment horizontal="center" vertical="center"/>
      <protection locked="0"/>
    </xf>
    <xf numFmtId="0" fontId="39" fillId="3" borderId="7" xfId="0" applyFont="1" applyFill="1" applyBorder="1" applyAlignment="1" applyProtection="1">
      <alignment horizontal="left" vertical="center"/>
      <protection locked="0"/>
    </xf>
    <xf numFmtId="0" fontId="40" fillId="0" borderId="11" xfId="0" applyFont="1" applyBorder="1" applyAlignment="1" applyProtection="1">
      <alignment horizontal="center"/>
      <protection hidden="1"/>
    </xf>
    <xf numFmtId="168" fontId="39" fillId="3" borderId="11" xfId="0" applyNumberFormat="1" applyFont="1" applyFill="1" applyBorder="1" applyAlignment="1" applyProtection="1">
      <alignment horizontal="center" vertical="center"/>
      <protection locked="0"/>
    </xf>
    <xf numFmtId="168" fontId="39" fillId="3" borderId="7" xfId="0" applyNumberFormat="1" applyFont="1" applyFill="1" applyBorder="1" applyAlignment="1" applyProtection="1">
      <alignment horizontal="center" vertical="center"/>
      <protection locked="0"/>
    </xf>
    <xf numFmtId="0" fontId="39" fillId="3" borderId="7" xfId="0" applyFont="1" applyFill="1" applyBorder="1" applyAlignment="1" applyProtection="1">
      <alignment horizontal="center"/>
      <protection locked="0"/>
    </xf>
    <xf numFmtId="0" fontId="10" fillId="8" borderId="12" xfId="2" applyFont="1" applyFill="1" applyBorder="1" applyAlignment="1">
      <alignment horizontal="center" vertical="center" wrapText="1"/>
    </xf>
    <xf numFmtId="0" fontId="10" fillId="8" borderId="14" xfId="2" applyFont="1" applyFill="1" applyBorder="1" applyAlignment="1">
      <alignment horizontal="center" vertical="center" wrapText="1"/>
    </xf>
    <xf numFmtId="0" fontId="14" fillId="8" borderId="11" xfId="2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/>
    </xf>
    <xf numFmtId="0" fontId="8" fillId="8" borderId="13" xfId="2" applyFont="1" applyFill="1" applyBorder="1" applyAlignment="1">
      <alignment horizontal="center" vertical="center"/>
    </xf>
    <xf numFmtId="0" fontId="27" fillId="8" borderId="18" xfId="2" applyFont="1" applyFill="1" applyBorder="1" applyAlignment="1">
      <alignment horizontal="center" vertical="center" wrapText="1"/>
    </xf>
    <xf numFmtId="0" fontId="27" fillId="8" borderId="0" xfId="2" applyFont="1" applyFill="1" applyAlignment="1">
      <alignment horizontal="center" vertical="center" wrapText="1"/>
    </xf>
    <xf numFmtId="167" fontId="1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 applyProtection="1">
      <alignment horizontal="center" vertical="center"/>
      <protection locked="0"/>
    </xf>
    <xf numFmtId="0" fontId="14" fillId="0" borderId="21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69" fontId="8" fillId="8" borderId="11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70" fontId="26" fillId="9" borderId="0" xfId="0" applyNumberFormat="1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1" fontId="39" fillId="0" borderId="11" xfId="0" applyNumberFormat="1" applyFont="1" applyBorder="1" applyAlignment="1" applyProtection="1">
      <alignment horizontal="center" vertical="center"/>
      <protection hidden="1"/>
    </xf>
    <xf numFmtId="0" fontId="42" fillId="0" borderId="0" xfId="0" applyFont="1" applyAlignment="1">
      <alignment vertical="center"/>
    </xf>
    <xf numFmtId="0" fontId="24" fillId="0" borderId="0" xfId="0" applyFont="1"/>
    <xf numFmtId="0" fontId="29" fillId="0" borderId="0" xfId="0" applyFont="1" applyAlignment="1">
      <alignment vertical="center" wrapText="1"/>
    </xf>
    <xf numFmtId="0" fontId="49" fillId="8" borderId="2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/>
    </xf>
    <xf numFmtId="0" fontId="49" fillId="8" borderId="25" xfId="0" applyFont="1" applyFill="1" applyBorder="1" applyAlignment="1">
      <alignment horizontal="center" vertical="center" wrapText="1"/>
    </xf>
    <xf numFmtId="0" fontId="50" fillId="8" borderId="26" xfId="0" applyFont="1" applyFill="1" applyBorder="1" applyAlignment="1">
      <alignment horizontal="center" vertical="center"/>
    </xf>
    <xf numFmtId="0" fontId="49" fillId="4" borderId="25" xfId="0" applyFont="1" applyFill="1" applyBorder="1" applyAlignment="1">
      <alignment horizontal="center" vertical="center" wrapText="1"/>
    </xf>
    <xf numFmtId="0" fontId="50" fillId="4" borderId="26" xfId="0" applyFont="1" applyFill="1" applyBorder="1" applyAlignment="1">
      <alignment horizontal="center" vertical="center"/>
    </xf>
    <xf numFmtId="0" fontId="50" fillId="3" borderId="27" xfId="0" applyFont="1" applyFill="1" applyBorder="1" applyAlignment="1">
      <alignment horizontal="center" vertical="center"/>
    </xf>
    <xf numFmtId="0" fontId="51" fillId="4" borderId="27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vertical="center"/>
    </xf>
    <xf numFmtId="0" fontId="50" fillId="3" borderId="28" xfId="0" applyFont="1" applyFill="1" applyBorder="1" applyAlignment="1">
      <alignment horizontal="center" vertical="center"/>
    </xf>
    <xf numFmtId="0" fontId="51" fillId="4" borderId="28" xfId="0" applyFont="1" applyFill="1" applyBorder="1" applyAlignment="1">
      <alignment horizontal="center" vertical="center"/>
    </xf>
    <xf numFmtId="0" fontId="24" fillId="4" borderId="0" xfId="0" applyFont="1" applyFill="1"/>
    <xf numFmtId="0" fontId="51" fillId="4" borderId="24" xfId="0" applyFont="1" applyFill="1" applyBorder="1" applyAlignment="1">
      <alignment horizontal="center" vertical="center"/>
    </xf>
    <xf numFmtId="0" fontId="24" fillId="4" borderId="23" xfId="0" applyFont="1" applyFill="1" applyBorder="1"/>
    <xf numFmtId="0" fontId="24" fillId="4" borderId="23" xfId="0" applyFont="1" applyFill="1" applyBorder="1" applyAlignment="1">
      <alignment vertical="center"/>
    </xf>
    <xf numFmtId="0" fontId="24" fillId="4" borderId="24" xfId="0" applyFont="1" applyFill="1" applyBorder="1"/>
    <xf numFmtId="0" fontId="24" fillId="4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9" fillId="0" borderId="11" xfId="0" applyFont="1" applyBorder="1"/>
    <xf numFmtId="167" fontId="2" fillId="0" borderId="0" xfId="0" applyNumberFormat="1" applyFont="1"/>
    <xf numFmtId="167" fontId="39" fillId="0" borderId="11" xfId="0" applyNumberFormat="1" applyFont="1" applyBorder="1"/>
    <xf numFmtId="0" fontId="40" fillId="9" borderId="11" xfId="0" applyFont="1" applyFill="1" applyBorder="1" applyAlignment="1" applyProtection="1">
      <alignment horizontal="center"/>
      <protection hidden="1"/>
    </xf>
    <xf numFmtId="0" fontId="55" fillId="10" borderId="30" xfId="0" applyFont="1" applyFill="1" applyBorder="1" applyAlignment="1" applyProtection="1">
      <alignment vertical="center" wrapText="1"/>
      <protection locked="0"/>
    </xf>
    <xf numFmtId="0" fontId="8" fillId="6" borderId="7" xfId="2" applyFont="1" applyFill="1" applyBorder="1" applyAlignment="1">
      <alignment horizontal="center" vertical="center" wrapText="1"/>
    </xf>
    <xf numFmtId="169" fontId="8" fillId="6" borderId="7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7" fillId="11" borderId="0" xfId="0" applyFont="1" applyFill="1"/>
    <xf numFmtId="0" fontId="56" fillId="3" borderId="0" xfId="0" applyFont="1" applyFill="1" applyAlignment="1">
      <alignment vertical="center"/>
    </xf>
    <xf numFmtId="170" fontId="24" fillId="12" borderId="0" xfId="0" applyNumberFormat="1" applyFont="1" applyFill="1" applyAlignment="1">
      <alignment vertical="center"/>
    </xf>
    <xf numFmtId="0" fontId="24" fillId="12" borderId="0" xfId="0" applyFont="1" applyFill="1"/>
    <xf numFmtId="0" fontId="4" fillId="0" borderId="1" xfId="1" applyBorder="1"/>
    <xf numFmtId="164" fontId="14" fillId="0" borderId="7" xfId="1" applyNumberFormat="1" applyFont="1" applyBorder="1" applyAlignment="1" applyProtection="1">
      <alignment horizontal="right" vertical="center"/>
      <protection hidden="1"/>
    </xf>
    <xf numFmtId="0" fontId="31" fillId="0" borderId="31" xfId="0" applyFont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hidden="1"/>
    </xf>
    <xf numFmtId="0" fontId="51" fillId="12" borderId="27" xfId="0" applyFont="1" applyFill="1" applyBorder="1" applyAlignment="1">
      <alignment horizontal="center" vertical="center"/>
    </xf>
    <xf numFmtId="0" fontId="51" fillId="12" borderId="28" xfId="0" applyFont="1" applyFill="1" applyBorder="1" applyAlignment="1">
      <alignment horizontal="center" vertical="center"/>
    </xf>
    <xf numFmtId="0" fontId="24" fillId="12" borderId="7" xfId="0" applyFont="1" applyFill="1" applyBorder="1"/>
    <xf numFmtId="0" fontId="14" fillId="0" borderId="7" xfId="1" applyFont="1" applyBorder="1" applyAlignment="1" applyProtection="1">
      <alignment horizontal="left" vertical="center"/>
      <protection hidden="1"/>
    </xf>
    <xf numFmtId="0" fontId="14" fillId="4" borderId="7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0" fontId="44" fillId="9" borderId="22" xfId="0" applyFont="1" applyFill="1" applyBorder="1" applyAlignment="1">
      <alignment horizontal="center" vertical="top" wrapText="1"/>
    </xf>
    <xf numFmtId="0" fontId="44" fillId="9" borderId="16" xfId="0" applyFont="1" applyFill="1" applyBorder="1" applyAlignment="1">
      <alignment horizontal="center" vertical="top" wrapText="1"/>
    </xf>
    <xf numFmtId="0" fontId="44" fillId="9" borderId="29" xfId="0" applyFont="1" applyFill="1" applyBorder="1" applyAlignment="1">
      <alignment horizontal="center" vertical="top" wrapText="1"/>
    </xf>
    <xf numFmtId="0" fontId="44" fillId="9" borderId="24" xfId="0" applyFont="1" applyFill="1" applyBorder="1" applyAlignment="1">
      <alignment horizontal="center" vertical="top" wrapText="1"/>
    </xf>
    <xf numFmtId="0" fontId="44" fillId="9" borderId="0" xfId="0" applyFont="1" applyFill="1" applyAlignment="1">
      <alignment horizontal="center" vertical="top" wrapText="1"/>
    </xf>
    <xf numFmtId="0" fontId="44" fillId="9" borderId="23" xfId="0" applyFont="1" applyFill="1" applyBorder="1" applyAlignment="1">
      <alignment horizontal="center" vertical="top" wrapText="1"/>
    </xf>
    <xf numFmtId="0" fontId="43" fillId="0" borderId="0" xfId="0" applyFont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/>
    </xf>
    <xf numFmtId="0" fontId="46" fillId="5" borderId="5" xfId="0" applyFont="1" applyFill="1" applyBorder="1" applyAlignment="1">
      <alignment horizontal="center" vertical="center"/>
    </xf>
    <xf numFmtId="0" fontId="47" fillId="7" borderId="2" xfId="0" applyFont="1" applyFill="1" applyBorder="1" applyAlignment="1">
      <alignment horizontal="center" vertical="center"/>
    </xf>
    <xf numFmtId="0" fontId="47" fillId="7" borderId="5" xfId="0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0" fontId="39" fillId="0" borderId="11" xfId="0" applyFont="1" applyBorder="1" applyAlignment="1" applyProtection="1">
      <alignment horizontal="center" vertical="center"/>
      <protection hidden="1"/>
    </xf>
    <xf numFmtId="0" fontId="26" fillId="8" borderId="11" xfId="0" applyFont="1" applyFill="1" applyBorder="1" applyAlignment="1">
      <alignment horizontal="center" vertical="center" wrapText="1"/>
    </xf>
    <xf numFmtId="0" fontId="26" fillId="8" borderId="7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0" fillId="8" borderId="13" xfId="2" applyFont="1" applyFill="1" applyBorder="1" applyAlignment="1">
      <alignment horizontal="center" vertical="center" wrapText="1"/>
    </xf>
    <xf numFmtId="0" fontId="10" fillId="8" borderId="17" xfId="2" applyFont="1" applyFill="1" applyBorder="1" applyAlignment="1">
      <alignment horizontal="center" vertical="center" wrapText="1"/>
    </xf>
    <xf numFmtId="0" fontId="14" fillId="8" borderId="11" xfId="2" applyFont="1" applyFill="1" applyBorder="1" applyAlignment="1">
      <alignment horizontal="center" vertical="center" wrapText="1"/>
    </xf>
    <xf numFmtId="0" fontId="14" fillId="8" borderId="7" xfId="2" applyFont="1" applyFill="1" applyBorder="1" applyAlignment="1">
      <alignment horizontal="center" vertical="center" wrapText="1"/>
    </xf>
    <xf numFmtId="0" fontId="10" fillId="8" borderId="11" xfId="2" applyFont="1" applyFill="1" applyBorder="1" applyAlignment="1">
      <alignment horizontal="center" vertical="center" wrapText="1"/>
    </xf>
    <xf numFmtId="0" fontId="10" fillId="8" borderId="7" xfId="2" applyFont="1" applyFill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vertical="center"/>
    </xf>
    <xf numFmtId="0" fontId="41" fillId="7" borderId="5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10" fillId="8" borderId="15" xfId="2" applyFont="1" applyFill="1" applyBorder="1" applyAlignment="1">
      <alignment horizontal="center" vertical="center" wrapText="1"/>
    </xf>
    <xf numFmtId="0" fontId="10" fillId="8" borderId="16" xfId="2" applyFont="1" applyFill="1" applyBorder="1" applyAlignment="1">
      <alignment horizontal="center" vertical="center" wrapText="1"/>
    </xf>
    <xf numFmtId="0" fontId="10" fillId="8" borderId="20" xfId="2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4" fillId="4" borderId="9" xfId="0" applyFont="1" applyFill="1" applyBorder="1" applyAlignment="1" applyProtection="1">
      <alignment horizontal="left" vertical="center"/>
      <protection locked="0"/>
    </xf>
    <xf numFmtId="0" fontId="24" fillId="4" borderId="10" xfId="0" applyFont="1" applyFill="1" applyBorder="1" applyAlignment="1" applyProtection="1">
      <alignment horizontal="left" vertical="center"/>
      <protection locked="0"/>
    </xf>
    <xf numFmtId="166" fontId="24" fillId="4" borderId="10" xfId="0" applyNumberFormat="1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6" fillId="6" borderId="1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0" fillId="6" borderId="13" xfId="2" applyFont="1" applyFill="1" applyBorder="1" applyAlignment="1">
      <alignment horizontal="center" vertical="center" wrapText="1"/>
    </xf>
    <xf numFmtId="0" fontId="10" fillId="6" borderId="17" xfId="2" applyFont="1" applyFill="1" applyBorder="1" applyAlignment="1">
      <alignment horizontal="center" vertical="center" wrapText="1"/>
    </xf>
    <xf numFmtId="0" fontId="14" fillId="6" borderId="11" xfId="2" applyFont="1" applyFill="1" applyBorder="1" applyAlignment="1">
      <alignment horizontal="center" vertical="center" wrapText="1"/>
    </xf>
    <xf numFmtId="0" fontId="14" fillId="6" borderId="7" xfId="2" applyFont="1" applyFill="1" applyBorder="1" applyAlignment="1">
      <alignment horizontal="center" vertical="center" wrapText="1"/>
    </xf>
    <xf numFmtId="0" fontId="10" fillId="6" borderId="11" xfId="2" applyFont="1" applyFill="1" applyBorder="1" applyAlignment="1">
      <alignment horizontal="center" vertical="center" wrapText="1"/>
    </xf>
    <xf numFmtId="0" fontId="10" fillId="6" borderId="7" xfId="2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9" fillId="0" borderId="0" xfId="1" applyFont="1" applyAlignment="1" applyProtection="1">
      <alignment horizontal="left"/>
      <protection hidden="1"/>
    </xf>
    <xf numFmtId="0" fontId="11" fillId="2" borderId="2" xfId="1" applyFont="1" applyFill="1" applyBorder="1" applyAlignment="1" applyProtection="1">
      <alignment horizontal="center" vertical="center"/>
      <protection hidden="1"/>
    </xf>
    <xf numFmtId="0" fontId="11" fillId="2" borderId="3" xfId="1" applyFont="1" applyFill="1" applyBorder="1" applyAlignment="1" applyProtection="1">
      <alignment horizontal="center" vertical="center"/>
      <protection hidden="1"/>
    </xf>
    <xf numFmtId="0" fontId="13" fillId="2" borderId="2" xfId="1" applyFont="1" applyFill="1" applyBorder="1" applyAlignment="1" applyProtection="1">
      <alignment horizontal="center" vertical="center"/>
      <protection hidden="1"/>
    </xf>
    <xf numFmtId="0" fontId="13" fillId="2" borderId="5" xfId="1" applyFont="1" applyFill="1" applyBorder="1" applyAlignment="1" applyProtection="1">
      <alignment horizontal="center" vertical="center"/>
      <protection hidden="1"/>
    </xf>
    <xf numFmtId="0" fontId="13" fillId="2" borderId="3" xfId="1" applyFont="1" applyFill="1" applyBorder="1" applyAlignment="1" applyProtection="1">
      <alignment horizontal="center" vertical="center"/>
      <protection hidden="1"/>
    </xf>
    <xf numFmtId="0" fontId="14" fillId="0" borderId="7" xfId="1" applyFont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8" fillId="0" borderId="0" xfId="1" applyFont="1" applyAlignment="1" applyProtection="1">
      <alignment horizontal="center" vertical="top"/>
      <protection hidden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3" xfId="3" xr:uid="{00000000-0005-0000-0000-000003000000}"/>
  </cellStyles>
  <dxfs count="0"/>
  <tableStyles count="0" defaultTableStyle="TableStyleMedium2" defaultPivotStyle="PivotStyleLight16"/>
  <colors>
    <mruColors>
      <color rgb="FFBC8F00"/>
      <color rgb="FFCCFF33"/>
      <color rgb="FFF5E47B"/>
      <color rgb="FFFFFF00"/>
      <color rgb="FFFFFF66"/>
      <color rgb="FFCC0000"/>
      <color rgb="FFFF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232316</xdr:colOff>
      <xdr:row>44</xdr:row>
      <xdr:rowOff>162621</xdr:rowOff>
    </xdr:from>
    <xdr:to>
      <xdr:col>13</xdr:col>
      <xdr:colOff>151027</xdr:colOff>
      <xdr:row>57</xdr:row>
      <xdr:rowOff>24189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00" y="12887960"/>
          <a:ext cx="3576320" cy="35763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23233</xdr:colOff>
      <xdr:row>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158"/>
        <a:stretch/>
      </xdr:blipFill>
      <xdr:spPr>
        <a:xfrm>
          <a:off x="1" y="0"/>
          <a:ext cx="13335000" cy="2996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30726</xdr:colOff>
      <xdr:row>0</xdr:row>
      <xdr:rowOff>0</xdr:rowOff>
    </xdr:from>
    <xdr:to>
      <xdr:col>11</xdr:col>
      <xdr:colOff>967863</xdr:colOff>
      <xdr:row>4</xdr:row>
      <xdr:rowOff>15361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158"/>
        <a:stretch/>
      </xdr:blipFill>
      <xdr:spPr>
        <a:xfrm>
          <a:off x="30726" y="0"/>
          <a:ext cx="10723306" cy="2304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965916</xdr:colOff>
      <xdr:row>5</xdr:row>
      <xdr:rowOff>26831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158"/>
        <a:stretch/>
      </xdr:blipFill>
      <xdr:spPr>
        <a:xfrm>
          <a:off x="0" y="0"/>
          <a:ext cx="10692148" cy="2133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20484</xdr:colOff>
      <xdr:row>0</xdr:row>
      <xdr:rowOff>10242</xdr:rowOff>
    </xdr:from>
    <xdr:to>
      <xdr:col>5</xdr:col>
      <xdr:colOff>594032</xdr:colOff>
      <xdr:row>3</xdr:row>
      <xdr:rowOff>993468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158"/>
        <a:stretch/>
      </xdr:blipFill>
      <xdr:spPr>
        <a:xfrm>
          <a:off x="20484" y="10242"/>
          <a:ext cx="6155403" cy="1567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</sheetPr>
  <dimension ref="A1:R101"/>
  <sheetViews>
    <sheetView view="pageBreakPreview" topLeftCell="A85" zoomScale="70" zoomScaleNormal="85" zoomScaleSheetLayoutView="70" workbookViewId="0">
      <selection activeCell="D95" sqref="D95"/>
    </sheetView>
  </sheetViews>
  <sheetFormatPr defaultColWidth="9.140625" defaultRowHeight="14.25"/>
  <cols>
    <col min="1" max="1" width="11.42578125" style="23" customWidth="1"/>
    <col min="2" max="2" width="79.42578125" style="23" customWidth="1"/>
    <col min="3" max="3" width="11.28515625" style="23" customWidth="1"/>
    <col min="4" max="4" width="97.7109375" style="23" customWidth="1"/>
    <col min="5" max="5" width="11.5703125" style="23" hidden="1" customWidth="1"/>
    <col min="6" max="6" width="69.28515625" style="23" hidden="1" customWidth="1"/>
    <col min="7" max="13" width="9.140625" style="23" customWidth="1"/>
    <col min="14" max="16384" width="9.140625" style="23"/>
  </cols>
  <sheetData>
    <row r="1" spans="1:18" s="22" customFormat="1" ht="42.75" customHeight="1">
      <c r="A1" s="162"/>
      <c r="B1" s="162"/>
      <c r="C1" s="162"/>
      <c r="D1" s="162"/>
      <c r="E1" s="162"/>
      <c r="F1" s="162"/>
      <c r="G1" s="156" t="s">
        <v>0</v>
      </c>
      <c r="H1" s="157"/>
      <c r="I1" s="157"/>
      <c r="J1" s="157"/>
      <c r="K1" s="157"/>
      <c r="L1" s="157"/>
      <c r="M1" s="157"/>
      <c r="N1" s="157"/>
      <c r="O1" s="158"/>
      <c r="P1" s="63"/>
      <c r="Q1" s="63"/>
      <c r="R1" s="63"/>
    </row>
    <row r="2" spans="1:18" s="22" customFormat="1" ht="42.75" customHeight="1">
      <c r="A2" s="162"/>
      <c r="B2" s="162"/>
      <c r="C2" s="162"/>
      <c r="D2" s="162"/>
      <c r="E2" s="162"/>
      <c r="F2" s="163"/>
      <c r="G2" s="159"/>
      <c r="H2" s="160"/>
      <c r="I2" s="160"/>
      <c r="J2" s="160"/>
      <c r="K2" s="160"/>
      <c r="L2" s="160"/>
      <c r="M2" s="160"/>
      <c r="N2" s="160"/>
      <c r="O2" s="161"/>
      <c r="P2" s="63"/>
      <c r="Q2" s="63"/>
      <c r="R2" s="63"/>
    </row>
    <row r="3" spans="1:18" s="22" customFormat="1" ht="42.75" customHeight="1">
      <c r="A3" s="162"/>
      <c r="B3" s="162"/>
      <c r="C3" s="162"/>
      <c r="D3" s="162"/>
      <c r="E3" s="162"/>
      <c r="F3" s="163"/>
      <c r="G3" s="159"/>
      <c r="H3" s="160"/>
      <c r="I3" s="160"/>
      <c r="J3" s="160"/>
      <c r="K3" s="160"/>
      <c r="L3" s="160"/>
      <c r="M3" s="160"/>
      <c r="N3" s="160"/>
      <c r="O3" s="161"/>
      <c r="P3" s="63"/>
      <c r="Q3" s="63"/>
      <c r="R3" s="63"/>
    </row>
    <row r="4" spans="1:18" s="22" customFormat="1" ht="100.5" customHeight="1">
      <c r="A4" s="164"/>
      <c r="B4" s="164"/>
      <c r="C4" s="164"/>
      <c r="D4" s="164"/>
      <c r="E4" s="164"/>
      <c r="F4" s="164"/>
      <c r="G4" s="159"/>
      <c r="H4" s="160"/>
      <c r="I4" s="160"/>
      <c r="J4" s="160"/>
      <c r="K4" s="160"/>
      <c r="L4" s="160"/>
      <c r="M4" s="160"/>
      <c r="N4" s="160"/>
      <c r="O4" s="161"/>
      <c r="P4" s="63"/>
      <c r="Q4" s="63"/>
      <c r="R4" s="63"/>
    </row>
    <row r="5" spans="1:18" ht="6" customHeight="1">
      <c r="A5" s="109"/>
      <c r="B5" s="109"/>
      <c r="C5" s="109"/>
      <c r="D5" s="109"/>
      <c r="E5" s="109"/>
      <c r="F5" s="109"/>
      <c r="G5" s="159"/>
      <c r="H5" s="160"/>
      <c r="I5" s="160"/>
      <c r="J5" s="160"/>
      <c r="K5" s="160"/>
      <c r="L5" s="160"/>
      <c r="M5" s="160"/>
      <c r="N5" s="160"/>
      <c r="O5" s="161"/>
    </row>
    <row r="6" spans="1:18" ht="3" customHeight="1">
      <c r="G6" s="159"/>
      <c r="H6" s="160"/>
      <c r="I6" s="160"/>
      <c r="J6" s="160"/>
      <c r="K6" s="160"/>
      <c r="L6" s="160"/>
      <c r="M6" s="160"/>
      <c r="N6" s="160"/>
      <c r="O6" s="161"/>
    </row>
    <row r="7" spans="1:18" ht="33" customHeight="1">
      <c r="A7" s="165" t="s">
        <v>1</v>
      </c>
      <c r="B7" s="166"/>
      <c r="C7" s="167" t="s">
        <v>2</v>
      </c>
      <c r="D7" s="168"/>
      <c r="E7" s="169"/>
      <c r="F7" s="170"/>
      <c r="G7" s="159"/>
      <c r="H7" s="160"/>
      <c r="I7" s="160"/>
      <c r="J7" s="160"/>
      <c r="K7" s="160"/>
      <c r="L7" s="160"/>
      <c r="M7" s="160"/>
      <c r="N7" s="160"/>
      <c r="O7" s="161"/>
    </row>
    <row r="8" spans="1:18" s="107" customFormat="1" ht="39.75" customHeight="1">
      <c r="A8" s="110" t="s">
        <v>3</v>
      </c>
      <c r="B8" s="111" t="s">
        <v>4</v>
      </c>
      <c r="C8" s="112" t="s">
        <v>3</v>
      </c>
      <c r="D8" s="113" t="s">
        <v>4</v>
      </c>
      <c r="E8" s="114"/>
      <c r="F8" s="115"/>
      <c r="G8" s="159"/>
      <c r="H8" s="160"/>
      <c r="I8" s="160"/>
      <c r="J8" s="160"/>
      <c r="K8" s="160"/>
      <c r="L8" s="160"/>
      <c r="M8" s="160"/>
      <c r="N8" s="160"/>
      <c r="O8" s="161"/>
    </row>
    <row r="9" spans="1:18" s="108" customFormat="1" ht="22.5" customHeight="1">
      <c r="A9" s="116">
        <v>1</v>
      </c>
      <c r="B9" s="141" t="s">
        <v>5</v>
      </c>
      <c r="C9" s="150" t="s">
        <v>6</v>
      </c>
      <c r="D9" s="142" t="s">
        <v>178</v>
      </c>
      <c r="E9" s="117"/>
      <c r="F9" s="118"/>
      <c r="G9" s="159"/>
      <c r="H9" s="160"/>
      <c r="I9" s="160"/>
      <c r="J9" s="160"/>
      <c r="K9" s="160"/>
      <c r="L9" s="160"/>
      <c r="M9" s="160"/>
      <c r="N9" s="160"/>
      <c r="O9" s="161"/>
    </row>
    <row r="10" spans="1:18" s="108" customFormat="1" ht="22.5" customHeight="1">
      <c r="A10" s="119">
        <v>2</v>
      </c>
      <c r="B10" s="141" t="s">
        <v>7</v>
      </c>
      <c r="C10" s="151" t="s">
        <v>8</v>
      </c>
      <c r="D10" s="142" t="s">
        <v>179</v>
      </c>
      <c r="E10" s="120"/>
      <c r="F10" s="118"/>
      <c r="G10" s="159"/>
      <c r="H10" s="160"/>
      <c r="I10" s="160"/>
      <c r="J10" s="160"/>
      <c r="K10" s="160"/>
      <c r="L10" s="160"/>
      <c r="M10" s="160"/>
      <c r="N10" s="160"/>
      <c r="O10" s="161"/>
    </row>
    <row r="11" spans="1:18" s="108" customFormat="1" ht="22.5" customHeight="1">
      <c r="A11" s="116">
        <v>3</v>
      </c>
      <c r="B11" s="141" t="s">
        <v>165</v>
      </c>
      <c r="C11" s="150" t="s">
        <v>9</v>
      </c>
      <c r="D11" s="142" t="s">
        <v>180</v>
      </c>
      <c r="E11" s="117"/>
      <c r="F11" s="118"/>
      <c r="G11" s="159"/>
      <c r="H11" s="160"/>
      <c r="I11" s="160"/>
      <c r="J11" s="160"/>
      <c r="K11" s="160"/>
      <c r="L11" s="160"/>
      <c r="M11" s="160"/>
      <c r="N11" s="160"/>
      <c r="O11" s="161"/>
    </row>
    <row r="12" spans="1:18" s="108" customFormat="1" ht="22.5" customHeight="1">
      <c r="A12" s="119">
        <v>4</v>
      </c>
      <c r="B12" s="141" t="s">
        <v>166</v>
      </c>
      <c r="C12" s="151" t="s">
        <v>10</v>
      </c>
      <c r="D12" s="142" t="s">
        <v>181</v>
      </c>
      <c r="E12" s="120"/>
      <c r="F12" s="118"/>
      <c r="G12" s="159"/>
      <c r="H12" s="160"/>
      <c r="I12" s="160"/>
      <c r="J12" s="160"/>
      <c r="K12" s="160"/>
      <c r="L12" s="160"/>
      <c r="M12" s="160"/>
      <c r="N12" s="160"/>
      <c r="O12" s="161"/>
    </row>
    <row r="13" spans="1:18" s="108" customFormat="1" ht="22.5" customHeight="1">
      <c r="A13" s="116">
        <v>5</v>
      </c>
      <c r="B13" s="141" t="s">
        <v>233</v>
      </c>
      <c r="C13" s="150" t="s">
        <v>11</v>
      </c>
      <c r="D13" s="142" t="s">
        <v>182</v>
      </c>
      <c r="E13" s="117"/>
      <c r="F13" s="118"/>
      <c r="G13" s="159"/>
      <c r="H13" s="160"/>
      <c r="I13" s="160"/>
      <c r="J13" s="160"/>
      <c r="K13" s="160"/>
      <c r="L13" s="160"/>
      <c r="M13" s="160"/>
      <c r="N13" s="160"/>
      <c r="O13" s="161"/>
    </row>
    <row r="14" spans="1:18" s="108" customFormat="1" ht="22.5" customHeight="1">
      <c r="A14" s="119">
        <v>6</v>
      </c>
      <c r="B14" s="141" t="s">
        <v>234</v>
      </c>
      <c r="C14" s="151" t="s">
        <v>12</v>
      </c>
      <c r="D14" s="142" t="s">
        <v>183</v>
      </c>
      <c r="E14" s="117"/>
      <c r="F14" s="118"/>
      <c r="G14" s="159"/>
      <c r="H14" s="160"/>
      <c r="I14" s="160"/>
      <c r="J14" s="160"/>
      <c r="K14" s="160"/>
      <c r="L14" s="160"/>
      <c r="M14" s="160"/>
      <c r="N14" s="160"/>
      <c r="O14" s="161"/>
    </row>
    <row r="15" spans="1:18" s="108" customFormat="1" ht="22.5" customHeight="1">
      <c r="A15" s="116">
        <v>7</v>
      </c>
      <c r="B15" s="141" t="s">
        <v>13</v>
      </c>
      <c r="C15" s="150" t="s">
        <v>14</v>
      </c>
      <c r="D15" s="142" t="s">
        <v>184</v>
      </c>
      <c r="E15" s="117"/>
      <c r="F15" s="118"/>
      <c r="G15" s="159"/>
      <c r="H15" s="160"/>
      <c r="I15" s="160"/>
      <c r="J15" s="160"/>
      <c r="K15" s="160"/>
      <c r="L15" s="160"/>
      <c r="M15" s="160"/>
      <c r="N15" s="160"/>
      <c r="O15" s="161"/>
    </row>
    <row r="16" spans="1:18" s="108" customFormat="1" ht="22.5" customHeight="1">
      <c r="A16" s="119">
        <v>8</v>
      </c>
      <c r="B16" s="141" t="s">
        <v>15</v>
      </c>
      <c r="C16" s="151" t="s">
        <v>16</v>
      </c>
      <c r="D16" s="142" t="s">
        <v>185</v>
      </c>
      <c r="E16" s="120"/>
      <c r="F16" s="118"/>
      <c r="G16" s="159"/>
      <c r="H16" s="160"/>
      <c r="I16" s="160"/>
      <c r="J16" s="160"/>
      <c r="K16" s="160"/>
      <c r="L16" s="160"/>
      <c r="M16" s="160"/>
      <c r="N16" s="160"/>
      <c r="O16" s="161"/>
    </row>
    <row r="17" spans="1:15" s="108" customFormat="1" ht="22.5" customHeight="1">
      <c r="A17" s="116">
        <v>9</v>
      </c>
      <c r="B17" s="141" t="s">
        <v>20</v>
      </c>
      <c r="C17" s="150" t="s">
        <v>17</v>
      </c>
      <c r="D17" s="142" t="s">
        <v>188</v>
      </c>
      <c r="E17" s="117"/>
      <c r="F17" s="118"/>
      <c r="G17" s="159"/>
      <c r="H17" s="160"/>
      <c r="I17" s="160"/>
      <c r="J17" s="160"/>
      <c r="K17" s="160"/>
      <c r="L17" s="160"/>
      <c r="M17" s="160"/>
      <c r="N17" s="160"/>
      <c r="O17" s="161"/>
    </row>
    <row r="18" spans="1:15" s="108" customFormat="1" ht="22.5" customHeight="1">
      <c r="A18" s="119">
        <v>10</v>
      </c>
      <c r="B18" s="141" t="s">
        <v>22</v>
      </c>
      <c r="C18" s="151" t="s">
        <v>18</v>
      </c>
      <c r="D18" s="142" t="s">
        <v>189</v>
      </c>
      <c r="E18" s="120"/>
      <c r="F18" s="118"/>
      <c r="G18" s="159"/>
      <c r="H18" s="160"/>
      <c r="I18" s="160"/>
      <c r="J18" s="160"/>
      <c r="K18" s="160"/>
      <c r="L18" s="160"/>
      <c r="M18" s="160"/>
      <c r="N18" s="160"/>
      <c r="O18" s="161"/>
    </row>
    <row r="19" spans="1:15" s="108" customFormat="1" ht="22.5" customHeight="1">
      <c r="A19" s="116">
        <v>11</v>
      </c>
      <c r="B19" s="141" t="s">
        <v>24</v>
      </c>
      <c r="C19" s="150" t="s">
        <v>19</v>
      </c>
      <c r="D19" s="142" t="s">
        <v>186</v>
      </c>
      <c r="E19" s="117"/>
      <c r="F19" s="118"/>
      <c r="G19" s="159"/>
      <c r="H19" s="160"/>
      <c r="I19" s="160"/>
      <c r="J19" s="160"/>
      <c r="K19" s="160"/>
      <c r="L19" s="160"/>
      <c r="M19" s="160"/>
      <c r="N19" s="160"/>
      <c r="O19" s="161"/>
    </row>
    <row r="20" spans="1:15" s="108" customFormat="1" ht="22.5" customHeight="1">
      <c r="A20" s="119">
        <v>12</v>
      </c>
      <c r="B20" s="141" t="s">
        <v>167</v>
      </c>
      <c r="C20" s="151" t="s">
        <v>21</v>
      </c>
      <c r="D20" s="142" t="s">
        <v>187</v>
      </c>
      <c r="E20" s="120"/>
      <c r="F20" s="118"/>
      <c r="G20" s="159"/>
      <c r="H20" s="160"/>
      <c r="I20" s="160"/>
      <c r="J20" s="160"/>
      <c r="K20" s="160"/>
      <c r="L20" s="160"/>
      <c r="M20" s="160"/>
      <c r="N20" s="160"/>
      <c r="O20" s="161"/>
    </row>
    <row r="21" spans="1:15" s="108" customFormat="1" ht="22.5" customHeight="1">
      <c r="A21" s="116">
        <v>13</v>
      </c>
      <c r="B21" s="141" t="s">
        <v>28</v>
      </c>
      <c r="C21" s="150" t="s">
        <v>23</v>
      </c>
      <c r="D21" s="142" t="s">
        <v>190</v>
      </c>
      <c r="E21" s="117"/>
      <c r="F21" s="118"/>
      <c r="G21" s="159"/>
      <c r="H21" s="160"/>
      <c r="I21" s="160"/>
      <c r="J21" s="160"/>
      <c r="K21" s="160"/>
      <c r="L21" s="160"/>
      <c r="M21" s="160"/>
      <c r="N21" s="160"/>
      <c r="O21" s="161"/>
    </row>
    <row r="22" spans="1:15" s="108" customFormat="1" ht="22.5" customHeight="1">
      <c r="A22" s="119">
        <v>14</v>
      </c>
      <c r="B22" s="141" t="s">
        <v>30</v>
      </c>
      <c r="C22" s="151" t="s">
        <v>25</v>
      </c>
      <c r="D22" s="142" t="s">
        <v>191</v>
      </c>
      <c r="E22" s="120"/>
      <c r="F22" s="118"/>
      <c r="G22" s="159"/>
      <c r="H22" s="160"/>
      <c r="I22" s="160"/>
      <c r="J22" s="160"/>
      <c r="K22" s="160"/>
      <c r="L22" s="160"/>
      <c r="M22" s="160"/>
      <c r="N22" s="160"/>
      <c r="O22" s="161"/>
    </row>
    <row r="23" spans="1:15" s="108" customFormat="1" ht="22.5" customHeight="1">
      <c r="A23" s="116">
        <v>15</v>
      </c>
      <c r="B23" s="141" t="s">
        <v>32</v>
      </c>
      <c r="C23" s="150" t="s">
        <v>26</v>
      </c>
      <c r="D23" s="142" t="s">
        <v>192</v>
      </c>
      <c r="E23" s="117"/>
      <c r="F23" s="118"/>
      <c r="G23" s="159"/>
      <c r="H23" s="160"/>
      <c r="I23" s="160"/>
      <c r="J23" s="160"/>
      <c r="K23" s="160"/>
      <c r="L23" s="160"/>
      <c r="M23" s="160"/>
      <c r="N23" s="160"/>
      <c r="O23" s="161"/>
    </row>
    <row r="24" spans="1:15" s="108" customFormat="1" ht="22.5" customHeight="1">
      <c r="A24" s="119">
        <v>16</v>
      </c>
      <c r="B24" s="141" t="s">
        <v>34</v>
      </c>
      <c r="C24" s="151" t="s">
        <v>27</v>
      </c>
      <c r="D24" s="142" t="s">
        <v>193</v>
      </c>
      <c r="E24" s="120"/>
      <c r="F24" s="118"/>
      <c r="G24" s="159"/>
      <c r="H24" s="160"/>
      <c r="I24" s="160"/>
      <c r="J24" s="160"/>
      <c r="K24" s="160"/>
      <c r="L24" s="160"/>
      <c r="M24" s="160"/>
      <c r="N24" s="160"/>
      <c r="O24" s="161"/>
    </row>
    <row r="25" spans="1:15" s="108" customFormat="1" ht="22.5" customHeight="1">
      <c r="A25" s="116">
        <v>17</v>
      </c>
      <c r="B25" s="141" t="s">
        <v>168</v>
      </c>
      <c r="C25" s="150" t="s">
        <v>29</v>
      </c>
      <c r="D25" s="142" t="s">
        <v>194</v>
      </c>
      <c r="E25" s="117"/>
      <c r="F25" s="118"/>
      <c r="G25" s="159"/>
      <c r="H25" s="160"/>
      <c r="I25" s="160"/>
      <c r="J25" s="160"/>
      <c r="K25" s="160"/>
      <c r="L25" s="160"/>
      <c r="M25" s="160"/>
      <c r="N25" s="160"/>
      <c r="O25" s="161"/>
    </row>
    <row r="26" spans="1:15" s="108" customFormat="1" ht="22.5" customHeight="1">
      <c r="A26" s="119">
        <v>18</v>
      </c>
      <c r="B26" s="141" t="s">
        <v>36</v>
      </c>
      <c r="C26" s="151" t="s">
        <v>31</v>
      </c>
      <c r="D26" s="142" t="s">
        <v>195</v>
      </c>
      <c r="E26" s="120"/>
      <c r="F26" s="118"/>
      <c r="G26" s="159"/>
      <c r="H26" s="160"/>
      <c r="I26" s="160"/>
      <c r="J26" s="160"/>
      <c r="K26" s="160"/>
      <c r="L26" s="160"/>
      <c r="M26" s="160"/>
      <c r="N26" s="160"/>
      <c r="O26" s="161"/>
    </row>
    <row r="27" spans="1:15" s="108" customFormat="1" ht="22.5" customHeight="1">
      <c r="A27" s="116">
        <v>19</v>
      </c>
      <c r="B27" s="141" t="s">
        <v>38</v>
      </c>
      <c r="C27" s="150" t="s">
        <v>33</v>
      </c>
      <c r="D27" s="142" t="s">
        <v>196</v>
      </c>
      <c r="E27" s="117"/>
      <c r="F27" s="118"/>
      <c r="G27" s="159"/>
      <c r="H27" s="160"/>
      <c r="I27" s="160"/>
      <c r="J27" s="160"/>
      <c r="K27" s="160"/>
      <c r="L27" s="160"/>
      <c r="M27" s="160"/>
      <c r="N27" s="160"/>
      <c r="O27" s="161"/>
    </row>
    <row r="28" spans="1:15" s="108" customFormat="1" ht="22.5" customHeight="1">
      <c r="A28" s="119">
        <v>20</v>
      </c>
      <c r="B28" s="141" t="s">
        <v>169</v>
      </c>
      <c r="C28" s="151" t="s">
        <v>35</v>
      </c>
      <c r="D28" s="142" t="s">
        <v>40</v>
      </c>
      <c r="E28" s="120"/>
      <c r="F28" s="118"/>
      <c r="G28" s="159"/>
      <c r="H28" s="160"/>
      <c r="I28" s="160"/>
      <c r="J28" s="160"/>
      <c r="K28" s="160"/>
      <c r="L28" s="160"/>
      <c r="M28" s="160"/>
      <c r="N28" s="160"/>
      <c r="O28" s="161"/>
    </row>
    <row r="29" spans="1:15" s="108" customFormat="1" ht="22.5" customHeight="1">
      <c r="A29" s="116">
        <v>21</v>
      </c>
      <c r="B29" s="141" t="s">
        <v>41</v>
      </c>
      <c r="C29" s="150" t="s">
        <v>37</v>
      </c>
      <c r="D29" s="142" t="s">
        <v>197</v>
      </c>
      <c r="E29" s="117"/>
      <c r="F29" s="118"/>
      <c r="G29" s="159"/>
      <c r="H29" s="160"/>
      <c r="I29" s="160"/>
      <c r="J29" s="160"/>
      <c r="K29" s="160"/>
      <c r="L29" s="160"/>
      <c r="M29" s="160"/>
      <c r="N29" s="160"/>
      <c r="O29" s="161"/>
    </row>
    <row r="30" spans="1:15" s="108" customFormat="1" ht="22.5" customHeight="1">
      <c r="A30" s="119">
        <v>22</v>
      </c>
      <c r="B30" s="141" t="s">
        <v>43</v>
      </c>
      <c r="C30" s="151" t="s">
        <v>39</v>
      </c>
      <c r="D30" s="142" t="s">
        <v>217</v>
      </c>
      <c r="E30" s="120"/>
      <c r="F30" s="118"/>
      <c r="G30" s="159"/>
      <c r="H30" s="160"/>
      <c r="I30" s="160"/>
      <c r="J30" s="160"/>
      <c r="K30" s="160"/>
      <c r="L30" s="160"/>
      <c r="M30" s="160"/>
      <c r="N30" s="160"/>
      <c r="O30" s="161"/>
    </row>
    <row r="31" spans="1:15" s="108" customFormat="1" ht="22.5" customHeight="1">
      <c r="A31" s="116">
        <v>23</v>
      </c>
      <c r="B31" s="141" t="s">
        <v>45</v>
      </c>
      <c r="C31" s="150" t="s">
        <v>42</v>
      </c>
      <c r="D31" s="142" t="s">
        <v>198</v>
      </c>
      <c r="E31" s="117"/>
      <c r="F31" s="118"/>
      <c r="G31" s="159"/>
      <c r="H31" s="160"/>
      <c r="I31" s="160"/>
      <c r="J31" s="160"/>
      <c r="K31" s="160"/>
      <c r="L31" s="160"/>
      <c r="M31" s="160"/>
      <c r="N31" s="160"/>
      <c r="O31" s="161"/>
    </row>
    <row r="32" spans="1:15" s="108" customFormat="1" ht="22.5" customHeight="1">
      <c r="A32" s="119">
        <v>24</v>
      </c>
      <c r="B32" s="141" t="s">
        <v>47</v>
      </c>
      <c r="C32" s="151" t="s">
        <v>44</v>
      </c>
      <c r="D32" s="142" t="s">
        <v>199</v>
      </c>
      <c r="E32" s="120"/>
      <c r="F32" s="118"/>
      <c r="G32" s="159"/>
      <c r="H32" s="160"/>
      <c r="I32" s="160"/>
      <c r="J32" s="160"/>
      <c r="K32" s="160"/>
      <c r="L32" s="160"/>
      <c r="M32" s="160"/>
      <c r="N32" s="160"/>
      <c r="O32" s="161"/>
    </row>
    <row r="33" spans="1:15" s="108" customFormat="1" ht="22.5" customHeight="1">
      <c r="A33" s="116">
        <v>25</v>
      </c>
      <c r="B33" s="141" t="s">
        <v>49</v>
      </c>
      <c r="C33" s="150" t="s">
        <v>46</v>
      </c>
      <c r="D33" s="142" t="s">
        <v>218</v>
      </c>
      <c r="E33" s="117"/>
      <c r="F33" s="118"/>
      <c r="G33" s="159"/>
      <c r="H33" s="160"/>
      <c r="I33" s="160"/>
      <c r="J33" s="160"/>
      <c r="K33" s="160"/>
      <c r="L33" s="160"/>
      <c r="M33" s="160"/>
      <c r="N33" s="160"/>
      <c r="O33" s="161"/>
    </row>
    <row r="34" spans="1:15" s="108" customFormat="1" ht="22.5" customHeight="1">
      <c r="A34" s="119">
        <v>26</v>
      </c>
      <c r="B34" s="141" t="s">
        <v>51</v>
      </c>
      <c r="C34" s="151" t="s">
        <v>48</v>
      </c>
      <c r="D34" s="142" t="s">
        <v>200</v>
      </c>
      <c r="E34" s="120"/>
      <c r="F34" s="118"/>
      <c r="G34" s="159"/>
      <c r="H34" s="160"/>
      <c r="I34" s="160"/>
      <c r="J34" s="160"/>
      <c r="K34" s="160"/>
      <c r="L34" s="160"/>
      <c r="M34" s="160"/>
      <c r="N34" s="160"/>
      <c r="O34" s="161"/>
    </row>
    <row r="35" spans="1:15" s="108" customFormat="1" ht="22.5" customHeight="1">
      <c r="A35" s="116">
        <v>27</v>
      </c>
      <c r="B35" s="141" t="s">
        <v>53</v>
      </c>
      <c r="C35" s="150" t="s">
        <v>50</v>
      </c>
      <c r="D35" s="142" t="s">
        <v>201</v>
      </c>
      <c r="E35" s="117"/>
      <c r="F35" s="118"/>
      <c r="G35" s="159"/>
      <c r="H35" s="160"/>
      <c r="I35" s="160"/>
      <c r="J35" s="160"/>
      <c r="K35" s="160"/>
      <c r="L35" s="160"/>
      <c r="M35" s="160"/>
      <c r="N35" s="160"/>
      <c r="O35" s="161"/>
    </row>
    <row r="36" spans="1:15" s="108" customFormat="1" ht="22.5" customHeight="1">
      <c r="A36" s="119">
        <v>28</v>
      </c>
      <c r="B36" s="141" t="s">
        <v>55</v>
      </c>
      <c r="C36" s="151" t="s">
        <v>52</v>
      </c>
      <c r="D36" s="142" t="s">
        <v>202</v>
      </c>
      <c r="E36" s="121"/>
      <c r="F36" s="121"/>
      <c r="G36" s="159"/>
      <c r="H36" s="160"/>
      <c r="I36" s="160"/>
      <c r="J36" s="160"/>
      <c r="K36" s="160"/>
      <c r="L36" s="160"/>
      <c r="M36" s="160"/>
      <c r="N36" s="160"/>
      <c r="O36" s="161"/>
    </row>
    <row r="37" spans="1:15" s="108" customFormat="1" ht="22.5" customHeight="1">
      <c r="A37" s="116">
        <v>29</v>
      </c>
      <c r="B37" s="141" t="s">
        <v>57</v>
      </c>
      <c r="C37" s="150" t="s">
        <v>54</v>
      </c>
      <c r="D37" s="142" t="s">
        <v>203</v>
      </c>
      <c r="E37" s="122"/>
      <c r="F37" s="123"/>
      <c r="G37" s="159"/>
      <c r="H37" s="160"/>
      <c r="I37" s="160"/>
      <c r="J37" s="160"/>
      <c r="K37" s="160"/>
      <c r="L37" s="160"/>
      <c r="M37" s="160"/>
      <c r="N37" s="160"/>
      <c r="O37" s="161"/>
    </row>
    <row r="38" spans="1:15" s="108" customFormat="1" ht="22.5" customHeight="1">
      <c r="A38" s="119">
        <v>30</v>
      </c>
      <c r="B38" s="141" t="s">
        <v>170</v>
      </c>
      <c r="C38" s="151" t="s">
        <v>56</v>
      </c>
      <c r="D38" s="142" t="s">
        <v>204</v>
      </c>
      <c r="E38" s="122"/>
      <c r="F38" s="124"/>
      <c r="G38" s="159"/>
      <c r="H38" s="160"/>
      <c r="I38" s="160"/>
      <c r="J38" s="160"/>
      <c r="K38" s="160"/>
      <c r="L38" s="160"/>
      <c r="M38" s="160"/>
      <c r="N38" s="160"/>
      <c r="O38" s="161"/>
    </row>
    <row r="39" spans="1:15" s="108" customFormat="1" ht="22.5" customHeight="1">
      <c r="A39" s="116">
        <v>31</v>
      </c>
      <c r="B39" s="141" t="s">
        <v>171</v>
      </c>
      <c r="C39" s="150" t="s">
        <v>58</v>
      </c>
      <c r="D39" s="142" t="s">
        <v>205</v>
      </c>
      <c r="E39" s="122"/>
      <c r="F39" s="124"/>
      <c r="G39" s="159"/>
      <c r="H39" s="160"/>
      <c r="I39" s="160"/>
      <c r="J39" s="160"/>
      <c r="K39" s="160"/>
      <c r="L39" s="160"/>
      <c r="M39" s="160"/>
      <c r="N39" s="160"/>
      <c r="O39" s="161"/>
    </row>
    <row r="40" spans="1:15" s="108" customFormat="1" ht="22.5" customHeight="1">
      <c r="A40" s="119">
        <v>32</v>
      </c>
      <c r="B40" s="141" t="s">
        <v>61</v>
      </c>
      <c r="C40" s="151" t="s">
        <v>59</v>
      </c>
      <c r="D40" s="142" t="s">
        <v>206</v>
      </c>
      <c r="E40" s="122"/>
      <c r="F40" s="124"/>
      <c r="G40" s="159"/>
      <c r="H40" s="160"/>
      <c r="I40" s="160"/>
      <c r="J40" s="160"/>
      <c r="K40" s="160"/>
      <c r="L40" s="160"/>
      <c r="M40" s="160"/>
      <c r="N40" s="160"/>
      <c r="O40" s="161"/>
    </row>
    <row r="41" spans="1:15" s="108" customFormat="1" ht="22.5" customHeight="1">
      <c r="A41" s="116">
        <v>33</v>
      </c>
      <c r="B41" s="141" t="s">
        <v>63</v>
      </c>
      <c r="C41" s="150" t="s">
        <v>60</v>
      </c>
      <c r="D41" s="142" t="s">
        <v>207</v>
      </c>
      <c r="E41" s="122"/>
      <c r="F41" s="124"/>
      <c r="G41" s="159"/>
      <c r="H41" s="160"/>
      <c r="I41" s="160"/>
      <c r="J41" s="160"/>
      <c r="K41" s="160"/>
      <c r="L41" s="160"/>
      <c r="M41" s="160"/>
      <c r="N41" s="160"/>
      <c r="O41" s="161"/>
    </row>
    <row r="42" spans="1:15" s="108" customFormat="1" ht="22.5" customHeight="1">
      <c r="A42" s="119">
        <v>34</v>
      </c>
      <c r="B42" s="141" t="s">
        <v>172</v>
      </c>
      <c r="C42" s="151" t="s">
        <v>62</v>
      </c>
      <c r="D42" s="142" t="s">
        <v>208</v>
      </c>
      <c r="E42" s="122"/>
      <c r="F42" s="124"/>
      <c r="G42" s="159"/>
      <c r="H42" s="160"/>
      <c r="I42" s="160"/>
      <c r="J42" s="160"/>
      <c r="K42" s="160"/>
      <c r="L42" s="160"/>
      <c r="M42" s="160"/>
      <c r="N42" s="160"/>
      <c r="O42" s="161"/>
    </row>
    <row r="43" spans="1:15" s="108" customFormat="1" ht="22.5" customHeight="1">
      <c r="A43" s="116">
        <v>35</v>
      </c>
      <c r="B43" s="141" t="s">
        <v>173</v>
      </c>
      <c r="C43" s="150" t="s">
        <v>64</v>
      </c>
      <c r="D43" s="142" t="s">
        <v>209</v>
      </c>
      <c r="E43" s="125"/>
      <c r="F43" s="121"/>
      <c r="G43" s="159"/>
      <c r="H43" s="160"/>
      <c r="I43" s="160"/>
      <c r="J43" s="160"/>
      <c r="K43" s="160"/>
      <c r="L43" s="160"/>
      <c r="M43" s="160"/>
      <c r="N43" s="160"/>
      <c r="O43" s="161"/>
    </row>
    <row r="44" spans="1:15" s="108" customFormat="1" ht="22.5" customHeight="1">
      <c r="A44" s="119">
        <v>36</v>
      </c>
      <c r="B44" s="141" t="s">
        <v>66</v>
      </c>
      <c r="C44" s="151" t="s">
        <v>65</v>
      </c>
      <c r="D44" s="142" t="s">
        <v>210</v>
      </c>
      <c r="E44" s="125"/>
      <c r="F44" s="121"/>
      <c r="G44" s="159"/>
      <c r="H44" s="160"/>
      <c r="I44" s="160"/>
      <c r="J44" s="160"/>
      <c r="K44" s="160"/>
      <c r="L44" s="160"/>
      <c r="M44" s="160"/>
      <c r="N44" s="160"/>
      <c r="O44" s="161"/>
    </row>
    <row r="45" spans="1:15" s="108" customFormat="1" ht="22.5" customHeight="1">
      <c r="A45" s="116">
        <v>37</v>
      </c>
      <c r="B45" s="141" t="s">
        <v>68</v>
      </c>
      <c r="C45" s="150" t="s">
        <v>67</v>
      </c>
      <c r="D45" s="142" t="s">
        <v>211</v>
      </c>
      <c r="E45" s="125"/>
      <c r="F45" s="121"/>
      <c r="G45" s="159"/>
      <c r="H45" s="160"/>
      <c r="I45" s="160"/>
      <c r="J45" s="160"/>
      <c r="K45" s="160"/>
      <c r="L45" s="160"/>
      <c r="M45" s="160"/>
      <c r="N45" s="160"/>
      <c r="O45" s="161"/>
    </row>
    <row r="46" spans="1:15" s="108" customFormat="1" ht="22.5" customHeight="1">
      <c r="A46" s="119">
        <v>38</v>
      </c>
      <c r="B46" s="141" t="s">
        <v>70</v>
      </c>
      <c r="C46" s="151" t="s">
        <v>69</v>
      </c>
      <c r="D46" s="142" t="s">
        <v>213</v>
      </c>
      <c r="E46" s="125"/>
      <c r="F46" s="121"/>
      <c r="G46" s="159"/>
      <c r="H46" s="160"/>
      <c r="I46" s="160"/>
      <c r="J46" s="160"/>
      <c r="K46" s="160"/>
      <c r="L46" s="160"/>
      <c r="M46" s="160"/>
      <c r="N46" s="160"/>
      <c r="O46" s="161"/>
    </row>
    <row r="47" spans="1:15" s="108" customFormat="1" ht="22.5" customHeight="1">
      <c r="A47" s="116">
        <v>39</v>
      </c>
      <c r="B47" s="141" t="s">
        <v>72</v>
      </c>
      <c r="C47" s="150" t="s">
        <v>71</v>
      </c>
      <c r="D47" s="142" t="s">
        <v>214</v>
      </c>
      <c r="E47" s="125"/>
      <c r="F47" s="121"/>
      <c r="G47" s="159"/>
      <c r="H47" s="160"/>
      <c r="I47" s="160"/>
      <c r="J47" s="160"/>
      <c r="K47" s="160"/>
      <c r="L47" s="160"/>
      <c r="M47" s="160"/>
      <c r="N47" s="160"/>
      <c r="O47" s="161"/>
    </row>
    <row r="48" spans="1:15" s="108" customFormat="1" ht="22.5" customHeight="1">
      <c r="A48" s="119">
        <v>40</v>
      </c>
      <c r="B48" s="141" t="s">
        <v>74</v>
      </c>
      <c r="C48" s="151" t="s">
        <v>73</v>
      </c>
      <c r="D48" s="142" t="s">
        <v>212</v>
      </c>
      <c r="E48" s="125"/>
      <c r="F48" s="121"/>
      <c r="G48" s="159"/>
      <c r="H48" s="160"/>
      <c r="I48" s="160"/>
      <c r="J48" s="160"/>
      <c r="K48" s="160"/>
      <c r="L48" s="160"/>
      <c r="M48" s="160"/>
      <c r="N48" s="160"/>
      <c r="O48" s="161"/>
    </row>
    <row r="49" spans="1:15" s="108" customFormat="1" ht="22.5" customHeight="1">
      <c r="A49" s="116">
        <v>41</v>
      </c>
      <c r="B49" s="141" t="s">
        <v>76</v>
      </c>
      <c r="C49" s="150" t="s">
        <v>75</v>
      </c>
      <c r="D49" s="142" t="s">
        <v>215</v>
      </c>
      <c r="E49" s="125"/>
      <c r="F49" s="121"/>
      <c r="G49" s="159"/>
      <c r="H49" s="160"/>
      <c r="I49" s="160"/>
      <c r="J49" s="160"/>
      <c r="K49" s="160"/>
      <c r="L49" s="160"/>
      <c r="M49" s="160"/>
      <c r="N49" s="160"/>
      <c r="O49" s="161"/>
    </row>
    <row r="50" spans="1:15" s="108" customFormat="1" ht="22.5" customHeight="1">
      <c r="A50" s="119">
        <v>42</v>
      </c>
      <c r="B50" s="141" t="s">
        <v>78</v>
      </c>
      <c r="C50" s="151" t="s">
        <v>77</v>
      </c>
      <c r="D50" s="142" t="s">
        <v>216</v>
      </c>
      <c r="E50" s="125"/>
      <c r="F50" s="121"/>
      <c r="G50" s="159"/>
      <c r="H50" s="160"/>
      <c r="I50" s="160"/>
      <c r="J50" s="160"/>
      <c r="K50" s="160"/>
      <c r="L50" s="160"/>
      <c r="M50" s="160"/>
      <c r="N50" s="160"/>
      <c r="O50" s="161"/>
    </row>
    <row r="51" spans="1:15" s="108" customFormat="1" ht="22.5" customHeight="1">
      <c r="A51" s="116">
        <v>43</v>
      </c>
      <c r="B51" s="141" t="s">
        <v>79</v>
      </c>
      <c r="C51" s="150"/>
      <c r="D51" s="142"/>
      <c r="E51" s="125"/>
      <c r="F51" s="121"/>
      <c r="G51" s="159"/>
      <c r="H51" s="160"/>
      <c r="I51" s="160"/>
      <c r="J51" s="160"/>
      <c r="K51" s="160"/>
      <c r="L51" s="160"/>
      <c r="M51" s="160"/>
      <c r="N51" s="160"/>
      <c r="O51" s="161"/>
    </row>
    <row r="52" spans="1:15" s="108" customFormat="1" ht="22.5" customHeight="1">
      <c r="A52" s="119">
        <v>44</v>
      </c>
      <c r="B52" s="141" t="s">
        <v>80</v>
      </c>
      <c r="C52" s="151"/>
      <c r="D52" s="142"/>
      <c r="E52" s="125"/>
      <c r="F52" s="121"/>
      <c r="G52" s="159"/>
      <c r="H52" s="160"/>
      <c r="I52" s="160"/>
      <c r="J52" s="160"/>
      <c r="K52" s="160"/>
      <c r="L52" s="160"/>
      <c r="M52" s="160"/>
      <c r="N52" s="160"/>
      <c r="O52" s="161"/>
    </row>
    <row r="53" spans="1:15" s="108" customFormat="1" ht="22.5" customHeight="1">
      <c r="A53" s="116">
        <v>45</v>
      </c>
      <c r="B53" s="141" t="s">
        <v>81</v>
      </c>
      <c r="C53" s="150"/>
      <c r="D53" s="142"/>
      <c r="E53" s="121"/>
      <c r="F53" s="121"/>
      <c r="G53" s="159"/>
      <c r="H53" s="160"/>
      <c r="I53" s="160"/>
      <c r="J53" s="160"/>
      <c r="K53" s="160"/>
      <c r="L53" s="160"/>
      <c r="M53" s="160"/>
      <c r="N53" s="160"/>
      <c r="O53" s="161"/>
    </row>
    <row r="54" spans="1:15" s="108" customFormat="1" ht="22.5" customHeight="1">
      <c r="A54" s="119">
        <v>46</v>
      </c>
      <c r="B54" s="141" t="s">
        <v>82</v>
      </c>
      <c r="C54" s="151"/>
      <c r="D54" s="142"/>
      <c r="E54" s="121"/>
      <c r="F54" s="121"/>
      <c r="G54" s="159"/>
      <c r="H54" s="160"/>
      <c r="I54" s="160"/>
      <c r="J54" s="160"/>
      <c r="K54" s="160"/>
      <c r="L54" s="160"/>
      <c r="M54" s="160"/>
      <c r="N54" s="160"/>
      <c r="O54" s="161"/>
    </row>
    <row r="55" spans="1:15" s="108" customFormat="1" ht="22.5" customHeight="1">
      <c r="A55" s="116">
        <v>47</v>
      </c>
      <c r="B55" s="141" t="s">
        <v>174</v>
      </c>
      <c r="C55" s="150"/>
      <c r="D55" s="142"/>
      <c r="E55" s="121"/>
      <c r="F55" s="121"/>
      <c r="G55" s="159"/>
      <c r="H55" s="160"/>
      <c r="I55" s="160"/>
      <c r="J55" s="160"/>
      <c r="K55" s="160"/>
      <c r="L55" s="160"/>
      <c r="M55" s="160"/>
      <c r="N55" s="160"/>
      <c r="O55" s="161"/>
    </row>
    <row r="56" spans="1:15" s="108" customFormat="1" ht="22.5" customHeight="1">
      <c r="A56" s="119">
        <v>48</v>
      </c>
      <c r="B56" s="141" t="s">
        <v>175</v>
      </c>
      <c r="C56" s="151"/>
      <c r="D56" s="142"/>
      <c r="E56" s="121"/>
      <c r="F56" s="121"/>
      <c r="G56" s="159"/>
      <c r="H56" s="160"/>
      <c r="I56" s="160"/>
      <c r="J56" s="160"/>
      <c r="K56" s="160"/>
      <c r="L56" s="160"/>
      <c r="M56" s="160"/>
      <c r="N56" s="160"/>
      <c r="O56" s="161"/>
    </row>
    <row r="57" spans="1:15" s="108" customFormat="1" ht="22.5" customHeight="1">
      <c r="A57" s="116">
        <v>49</v>
      </c>
      <c r="B57" s="141" t="s">
        <v>83</v>
      </c>
      <c r="C57" s="150"/>
      <c r="D57" s="142"/>
      <c r="E57" s="121"/>
      <c r="F57" s="121"/>
      <c r="G57" s="159"/>
      <c r="H57" s="160"/>
      <c r="I57" s="160"/>
      <c r="J57" s="160"/>
      <c r="K57" s="160"/>
      <c r="L57" s="160"/>
      <c r="M57" s="160"/>
      <c r="N57" s="160"/>
      <c r="O57" s="161"/>
    </row>
    <row r="58" spans="1:15" s="108" customFormat="1" ht="22.5" customHeight="1">
      <c r="A58" s="119">
        <v>50</v>
      </c>
      <c r="B58" s="141" t="s">
        <v>84</v>
      </c>
      <c r="C58" s="151"/>
      <c r="D58" s="142"/>
      <c r="E58" s="121"/>
      <c r="F58" s="121"/>
      <c r="G58" s="159"/>
      <c r="H58" s="160"/>
      <c r="I58" s="160"/>
      <c r="J58" s="160"/>
      <c r="K58" s="160"/>
      <c r="L58" s="160"/>
      <c r="M58" s="160"/>
      <c r="N58" s="160"/>
      <c r="O58" s="161"/>
    </row>
    <row r="59" spans="1:15" s="108" customFormat="1" ht="22.5" customHeight="1">
      <c r="A59" s="116">
        <v>51</v>
      </c>
      <c r="B59" s="141" t="s">
        <v>85</v>
      </c>
      <c r="C59" s="150"/>
      <c r="D59" s="142"/>
      <c r="E59" s="121"/>
      <c r="F59" s="121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s="108" customFormat="1" ht="22.5" customHeight="1">
      <c r="A60" s="119">
        <v>52</v>
      </c>
      <c r="B60" s="141" t="s">
        <v>86</v>
      </c>
      <c r="C60" s="151"/>
      <c r="D60" s="142"/>
      <c r="E60" s="121"/>
      <c r="F60" s="121"/>
      <c r="G60" s="159"/>
      <c r="H60" s="160"/>
      <c r="I60" s="160"/>
      <c r="J60" s="160"/>
      <c r="K60" s="160"/>
      <c r="L60" s="160"/>
      <c r="M60" s="160"/>
      <c r="N60" s="160"/>
      <c r="O60" s="161"/>
    </row>
    <row r="61" spans="1:15" s="108" customFormat="1" ht="22.5" customHeight="1">
      <c r="A61" s="116">
        <v>53</v>
      </c>
      <c r="B61" s="141" t="s">
        <v>87</v>
      </c>
      <c r="C61" s="150"/>
      <c r="D61" s="142"/>
      <c r="E61" s="121"/>
      <c r="F61" s="121"/>
      <c r="G61" s="159"/>
      <c r="H61" s="160"/>
      <c r="I61" s="160"/>
      <c r="J61" s="160"/>
      <c r="K61" s="160"/>
      <c r="L61" s="160"/>
      <c r="M61" s="160"/>
      <c r="N61" s="160"/>
      <c r="O61" s="161"/>
    </row>
    <row r="62" spans="1:15" s="108" customFormat="1" ht="22.5" customHeight="1">
      <c r="A62" s="119">
        <v>54</v>
      </c>
      <c r="B62" s="141" t="s">
        <v>229</v>
      </c>
      <c r="C62" s="151"/>
      <c r="D62" s="142"/>
      <c r="E62" s="121"/>
      <c r="F62" s="121"/>
      <c r="G62" s="159"/>
      <c r="H62" s="160"/>
      <c r="I62" s="160"/>
      <c r="J62" s="160"/>
      <c r="K62" s="160"/>
      <c r="L62" s="160"/>
      <c r="M62" s="160"/>
      <c r="N62" s="160"/>
      <c r="O62" s="161"/>
    </row>
    <row r="63" spans="1:15" s="108" customFormat="1" ht="22.5" customHeight="1">
      <c r="A63" s="116">
        <v>55</v>
      </c>
      <c r="B63" s="141" t="s">
        <v>230</v>
      </c>
      <c r="C63" s="150"/>
      <c r="D63" s="142"/>
      <c r="E63" s="121"/>
      <c r="F63" s="121"/>
      <c r="G63" s="159"/>
      <c r="H63" s="160"/>
      <c r="I63" s="160"/>
      <c r="J63" s="160"/>
      <c r="K63" s="160"/>
      <c r="L63" s="160"/>
      <c r="M63" s="160"/>
      <c r="N63" s="160"/>
      <c r="O63" s="161"/>
    </row>
    <row r="64" spans="1:15" s="108" customFormat="1" ht="22.5" customHeight="1">
      <c r="A64" s="119">
        <v>56</v>
      </c>
      <c r="B64" s="141" t="s">
        <v>231</v>
      </c>
      <c r="C64" s="151"/>
      <c r="D64" s="142"/>
      <c r="E64" s="121"/>
      <c r="F64" s="121"/>
      <c r="G64" s="159"/>
      <c r="H64" s="160"/>
      <c r="I64" s="160"/>
      <c r="J64" s="160"/>
      <c r="K64" s="160"/>
      <c r="L64" s="160"/>
      <c r="M64" s="160"/>
      <c r="N64" s="160"/>
      <c r="O64" s="161"/>
    </row>
    <row r="65" spans="1:15" s="108" customFormat="1" ht="22.5" customHeight="1">
      <c r="A65" s="116">
        <v>57</v>
      </c>
      <c r="B65" s="141" t="s">
        <v>232</v>
      </c>
      <c r="C65" s="150"/>
      <c r="D65" s="142"/>
      <c r="E65" s="121"/>
      <c r="F65" s="121"/>
      <c r="G65" s="159"/>
      <c r="H65" s="160"/>
      <c r="I65" s="160"/>
      <c r="J65" s="160"/>
      <c r="K65" s="160"/>
      <c r="L65" s="160"/>
      <c r="M65" s="160"/>
      <c r="N65" s="160"/>
      <c r="O65" s="161"/>
    </row>
    <row r="66" spans="1:15" s="108" customFormat="1" ht="22.5" customHeight="1">
      <c r="A66" s="119">
        <v>58</v>
      </c>
      <c r="B66" s="141" t="s">
        <v>88</v>
      </c>
      <c r="C66" s="151"/>
      <c r="D66" s="142"/>
      <c r="E66" s="121"/>
      <c r="F66" s="121"/>
      <c r="G66" s="159"/>
      <c r="H66" s="160"/>
      <c r="I66" s="160"/>
      <c r="J66" s="160"/>
      <c r="K66" s="160"/>
      <c r="L66" s="160"/>
      <c r="M66" s="160"/>
      <c r="N66" s="160"/>
      <c r="O66" s="161"/>
    </row>
    <row r="67" spans="1:15" s="108" customFormat="1" ht="22.5" customHeight="1">
      <c r="A67" s="116">
        <v>59</v>
      </c>
      <c r="B67" s="141" t="s">
        <v>89</v>
      </c>
      <c r="C67" s="152"/>
      <c r="D67" s="143"/>
      <c r="E67" s="121"/>
      <c r="F67" s="121"/>
      <c r="G67" s="159"/>
      <c r="H67" s="160"/>
      <c r="I67" s="160"/>
      <c r="J67" s="160"/>
      <c r="K67" s="160"/>
      <c r="L67" s="160"/>
      <c r="M67" s="160"/>
      <c r="N67" s="160"/>
      <c r="O67" s="161"/>
    </row>
    <row r="68" spans="1:15" s="108" customFormat="1" ht="22.5" customHeight="1">
      <c r="A68" s="119">
        <v>60</v>
      </c>
      <c r="B68" s="141" t="s">
        <v>90</v>
      </c>
      <c r="C68" s="152"/>
      <c r="D68" s="143"/>
      <c r="E68" s="121"/>
      <c r="F68" s="121"/>
      <c r="G68" s="159"/>
      <c r="H68" s="160"/>
      <c r="I68" s="160"/>
      <c r="J68" s="160"/>
      <c r="K68" s="160"/>
      <c r="L68" s="160"/>
      <c r="M68" s="160"/>
      <c r="N68" s="160"/>
      <c r="O68" s="161"/>
    </row>
    <row r="69" spans="1:15" s="108" customFormat="1" ht="22.5" customHeight="1">
      <c r="A69" s="116">
        <v>61</v>
      </c>
      <c r="B69" s="141" t="s">
        <v>176</v>
      </c>
      <c r="C69" s="152"/>
      <c r="D69" s="143"/>
      <c r="E69" s="121"/>
      <c r="F69" s="126"/>
      <c r="G69" s="159"/>
      <c r="H69" s="160"/>
      <c r="I69" s="160"/>
      <c r="J69" s="160"/>
      <c r="K69" s="160"/>
      <c r="L69" s="160"/>
      <c r="M69" s="160"/>
      <c r="N69" s="160"/>
      <c r="O69" s="161"/>
    </row>
    <row r="70" spans="1:15" s="108" customFormat="1" ht="22.5" customHeight="1">
      <c r="A70" s="119">
        <v>62</v>
      </c>
      <c r="B70" s="141" t="s">
        <v>177</v>
      </c>
      <c r="C70" s="152"/>
      <c r="D70" s="143"/>
      <c r="E70" s="121"/>
      <c r="F70" s="126"/>
      <c r="G70" s="159"/>
      <c r="H70" s="160"/>
      <c r="I70" s="160"/>
      <c r="J70" s="160"/>
      <c r="K70" s="160"/>
      <c r="L70" s="160"/>
      <c r="M70" s="160"/>
      <c r="N70" s="160"/>
      <c r="O70" s="161"/>
    </row>
    <row r="71" spans="1:15" s="108" customFormat="1" ht="22.5" customHeight="1">
      <c r="A71" s="116">
        <v>63</v>
      </c>
      <c r="B71" s="141" t="s">
        <v>91</v>
      </c>
      <c r="C71" s="152"/>
      <c r="D71" s="143"/>
      <c r="E71" s="121"/>
      <c r="F71" s="126"/>
      <c r="G71" s="159"/>
      <c r="H71" s="160"/>
      <c r="I71" s="160"/>
      <c r="J71" s="160"/>
      <c r="K71" s="160"/>
      <c r="L71" s="160"/>
      <c r="M71" s="160"/>
      <c r="N71" s="160"/>
      <c r="O71" s="161"/>
    </row>
    <row r="72" spans="1:15" s="108" customFormat="1" ht="22.5" customHeight="1">
      <c r="A72" s="119">
        <v>64</v>
      </c>
      <c r="B72" s="141" t="s">
        <v>92</v>
      </c>
      <c r="C72" s="152"/>
      <c r="D72" s="143"/>
      <c r="E72" s="121"/>
      <c r="F72" s="126"/>
      <c r="G72" s="159"/>
      <c r="H72" s="160"/>
      <c r="I72" s="160"/>
      <c r="J72" s="160"/>
      <c r="K72" s="160"/>
      <c r="L72" s="160"/>
      <c r="M72" s="160"/>
      <c r="N72" s="160"/>
      <c r="O72" s="161"/>
    </row>
    <row r="73" spans="1:15" s="108" customFormat="1" ht="22.5" customHeight="1">
      <c r="A73" s="116">
        <v>65</v>
      </c>
      <c r="B73" s="141" t="s">
        <v>93</v>
      </c>
      <c r="C73" s="152"/>
      <c r="D73" s="143"/>
      <c r="E73" s="121"/>
      <c r="F73" s="126"/>
      <c r="G73" s="159"/>
      <c r="H73" s="160"/>
      <c r="I73" s="160"/>
      <c r="J73" s="160"/>
      <c r="K73" s="160"/>
      <c r="L73" s="160"/>
      <c r="M73" s="160"/>
      <c r="N73" s="160"/>
      <c r="O73" s="161"/>
    </row>
    <row r="74" spans="1:15" s="108" customFormat="1" ht="22.5" customHeight="1">
      <c r="A74" s="119">
        <v>66</v>
      </c>
      <c r="B74" s="141" t="s">
        <v>94</v>
      </c>
      <c r="C74" s="152"/>
      <c r="D74" s="143"/>
      <c r="E74" s="121"/>
      <c r="F74" s="126"/>
      <c r="G74" s="159"/>
      <c r="H74" s="160"/>
      <c r="I74" s="160"/>
      <c r="J74" s="160"/>
      <c r="K74" s="160"/>
      <c r="L74" s="160"/>
      <c r="M74" s="160"/>
      <c r="N74" s="160"/>
      <c r="O74" s="161"/>
    </row>
    <row r="75" spans="1:15" s="108" customFormat="1" ht="22.5" customHeight="1">
      <c r="A75" s="116">
        <v>67</v>
      </c>
      <c r="B75" s="141" t="s">
        <v>95</v>
      </c>
      <c r="C75" s="152"/>
      <c r="D75" s="143"/>
      <c r="E75" s="121"/>
      <c r="F75" s="126"/>
      <c r="G75" s="159"/>
      <c r="H75" s="160"/>
      <c r="I75" s="160"/>
      <c r="J75" s="160"/>
      <c r="K75" s="160"/>
      <c r="L75" s="160"/>
      <c r="M75" s="160"/>
      <c r="N75" s="160"/>
      <c r="O75" s="161"/>
    </row>
    <row r="76" spans="1:15" s="108" customFormat="1" ht="22.5" customHeight="1">
      <c r="A76" s="119">
        <v>68</v>
      </c>
      <c r="B76" s="141" t="s">
        <v>96</v>
      </c>
      <c r="C76" s="152"/>
      <c r="D76" s="143"/>
      <c r="E76" s="121"/>
      <c r="F76" s="126"/>
      <c r="G76" s="159"/>
      <c r="H76" s="160"/>
      <c r="I76" s="160"/>
      <c r="J76" s="160"/>
      <c r="K76" s="160"/>
      <c r="L76" s="160"/>
      <c r="M76" s="160"/>
      <c r="N76" s="160"/>
      <c r="O76" s="161"/>
    </row>
    <row r="77" spans="1:15" s="108" customFormat="1" ht="22.5" customHeight="1">
      <c r="A77" s="116">
        <v>69</v>
      </c>
      <c r="B77" s="141" t="s">
        <v>97</v>
      </c>
      <c r="C77" s="152"/>
      <c r="D77" s="143"/>
      <c r="E77" s="121"/>
      <c r="F77" s="126"/>
      <c r="G77" s="159"/>
      <c r="H77" s="160"/>
      <c r="I77" s="160"/>
      <c r="J77" s="160"/>
      <c r="K77" s="160"/>
      <c r="L77" s="160"/>
      <c r="M77" s="160"/>
      <c r="N77" s="160"/>
      <c r="O77" s="161"/>
    </row>
    <row r="78" spans="1:15" s="108" customFormat="1" ht="22.5" customHeight="1">
      <c r="A78" s="119">
        <v>70</v>
      </c>
      <c r="B78" s="141" t="s">
        <v>98</v>
      </c>
      <c r="C78" s="152"/>
      <c r="D78" s="143"/>
      <c r="E78" s="121"/>
      <c r="F78" s="126"/>
      <c r="G78" s="159"/>
      <c r="H78" s="160"/>
      <c r="I78" s="160"/>
      <c r="J78" s="160"/>
      <c r="K78" s="160"/>
      <c r="L78" s="160"/>
      <c r="M78" s="160"/>
      <c r="N78" s="160"/>
      <c r="O78" s="161"/>
    </row>
    <row r="79" spans="1:15" s="108" customFormat="1" ht="22.5" customHeight="1">
      <c r="A79" s="116">
        <v>71</v>
      </c>
      <c r="B79" s="141" t="s">
        <v>99</v>
      </c>
      <c r="C79" s="152"/>
      <c r="D79" s="143"/>
      <c r="E79" s="121"/>
      <c r="F79" s="126"/>
      <c r="G79" s="159"/>
      <c r="H79" s="160"/>
      <c r="I79" s="160"/>
      <c r="J79" s="160"/>
      <c r="K79" s="160"/>
      <c r="L79" s="160"/>
      <c r="M79" s="160"/>
      <c r="N79" s="160"/>
      <c r="O79" s="161"/>
    </row>
    <row r="80" spans="1:15" s="108" customFormat="1" ht="22.5" customHeight="1">
      <c r="A80" s="119">
        <v>72</v>
      </c>
      <c r="B80" s="141" t="s">
        <v>100</v>
      </c>
      <c r="C80" s="152"/>
      <c r="D80" s="143"/>
      <c r="E80" s="121"/>
      <c r="F80" s="126"/>
      <c r="G80" s="159"/>
      <c r="H80" s="160"/>
      <c r="I80" s="160"/>
      <c r="J80" s="160"/>
      <c r="K80" s="160"/>
      <c r="L80" s="160"/>
      <c r="M80" s="160"/>
      <c r="N80" s="160"/>
      <c r="O80" s="161"/>
    </row>
    <row r="81" spans="1:15" s="108" customFormat="1" ht="22.5" customHeight="1">
      <c r="A81" s="116">
        <v>73</v>
      </c>
      <c r="B81" s="141" t="s">
        <v>101</v>
      </c>
      <c r="C81" s="152"/>
      <c r="D81" s="143"/>
      <c r="E81" s="121"/>
      <c r="F81" s="126"/>
      <c r="G81" s="159"/>
      <c r="H81" s="160"/>
      <c r="I81" s="160"/>
      <c r="J81" s="160"/>
      <c r="K81" s="160"/>
      <c r="L81" s="160"/>
      <c r="M81" s="160"/>
      <c r="N81" s="160"/>
      <c r="O81" s="161"/>
    </row>
    <row r="82" spans="1:15" s="108" customFormat="1" ht="22.5" customHeight="1">
      <c r="A82" s="119">
        <v>74</v>
      </c>
      <c r="B82" s="141" t="s">
        <v>102</v>
      </c>
      <c r="C82" s="152"/>
      <c r="D82" s="143"/>
      <c r="E82" s="121"/>
      <c r="F82" s="126"/>
      <c r="G82" s="159"/>
      <c r="H82" s="160"/>
      <c r="I82" s="160"/>
      <c r="J82" s="160"/>
      <c r="K82" s="160"/>
      <c r="L82" s="160"/>
      <c r="M82" s="160"/>
      <c r="N82" s="160"/>
      <c r="O82" s="161"/>
    </row>
    <row r="83" spans="1:15" s="108" customFormat="1" ht="22.5" customHeight="1">
      <c r="A83" s="116">
        <v>75</v>
      </c>
      <c r="B83" s="141" t="s">
        <v>103</v>
      </c>
      <c r="C83" s="152"/>
      <c r="D83" s="143"/>
      <c r="E83" s="121"/>
      <c r="F83" s="126"/>
      <c r="G83" s="159"/>
      <c r="H83" s="160"/>
      <c r="I83" s="160"/>
      <c r="J83" s="160"/>
      <c r="K83" s="160"/>
      <c r="L83" s="160"/>
      <c r="M83" s="160"/>
      <c r="N83" s="160"/>
      <c r="O83" s="161"/>
    </row>
    <row r="84" spans="1:15" s="108" customFormat="1" ht="22.5" customHeight="1">
      <c r="A84" s="119">
        <v>76</v>
      </c>
      <c r="B84" s="141" t="s">
        <v>104</v>
      </c>
      <c r="C84" s="152"/>
      <c r="D84" s="143"/>
      <c r="E84" s="121"/>
      <c r="F84" s="126"/>
      <c r="G84" s="159"/>
      <c r="H84" s="160"/>
      <c r="I84" s="160"/>
      <c r="J84" s="160"/>
      <c r="K84" s="160"/>
      <c r="L84" s="160"/>
      <c r="M84" s="160"/>
      <c r="N84" s="160"/>
      <c r="O84" s="161"/>
    </row>
    <row r="85" spans="1:15" s="108" customFormat="1" ht="22.5" customHeight="1">
      <c r="A85" s="116">
        <v>77</v>
      </c>
      <c r="B85" s="141" t="s">
        <v>105</v>
      </c>
      <c r="C85" s="152"/>
      <c r="D85" s="143"/>
      <c r="E85" s="121"/>
      <c r="F85" s="126"/>
      <c r="G85" s="159"/>
      <c r="H85" s="160"/>
      <c r="I85" s="160"/>
      <c r="J85" s="160"/>
      <c r="K85" s="160"/>
      <c r="L85" s="160"/>
      <c r="M85" s="160"/>
      <c r="N85" s="160"/>
      <c r="O85" s="161"/>
    </row>
    <row r="86" spans="1:15" s="108" customFormat="1" ht="22.5" customHeight="1">
      <c r="A86" s="119">
        <v>78</v>
      </c>
      <c r="B86" s="141" t="s">
        <v>106</v>
      </c>
      <c r="C86" s="152"/>
      <c r="D86" s="143"/>
      <c r="E86" s="121"/>
      <c r="F86" s="126"/>
      <c r="G86" s="159"/>
      <c r="H86" s="160"/>
      <c r="I86" s="160"/>
      <c r="J86" s="160"/>
      <c r="K86" s="160"/>
      <c r="L86" s="160"/>
      <c r="M86" s="160"/>
      <c r="N86" s="160"/>
      <c r="O86" s="161"/>
    </row>
    <row r="87" spans="1:15" s="108" customFormat="1" ht="22.5" customHeight="1">
      <c r="A87" s="116">
        <v>79</v>
      </c>
      <c r="B87" s="141" t="s">
        <v>107</v>
      </c>
      <c r="C87" s="152"/>
      <c r="D87" s="143"/>
      <c r="E87" s="121"/>
      <c r="F87" s="126"/>
      <c r="G87" s="159"/>
      <c r="H87" s="160"/>
      <c r="I87" s="160"/>
      <c r="J87" s="160"/>
      <c r="K87" s="160"/>
      <c r="L87" s="160"/>
      <c r="M87" s="160"/>
      <c r="N87" s="160"/>
      <c r="O87" s="161"/>
    </row>
    <row r="88" spans="1:15" s="108" customFormat="1" ht="22.5" customHeight="1">
      <c r="A88" s="119">
        <v>80</v>
      </c>
      <c r="B88" s="141" t="s">
        <v>108</v>
      </c>
      <c r="C88" s="152"/>
      <c r="D88" s="143"/>
      <c r="E88" s="121"/>
      <c r="F88" s="126"/>
      <c r="G88" s="159"/>
      <c r="H88" s="160"/>
      <c r="I88" s="160"/>
      <c r="J88" s="160"/>
      <c r="K88" s="160"/>
      <c r="L88" s="160"/>
      <c r="M88" s="160"/>
      <c r="N88" s="160"/>
      <c r="O88" s="161"/>
    </row>
    <row r="89" spans="1:15" s="108" customFormat="1" ht="22.5" customHeight="1">
      <c r="A89" s="116">
        <v>81</v>
      </c>
      <c r="B89" s="141" t="s">
        <v>109</v>
      </c>
      <c r="C89" s="152"/>
      <c r="D89" s="143"/>
      <c r="E89" s="121"/>
      <c r="F89" s="126"/>
      <c r="G89" s="159"/>
      <c r="H89" s="160"/>
      <c r="I89" s="160"/>
      <c r="J89" s="160"/>
      <c r="K89" s="160"/>
      <c r="L89" s="160"/>
      <c r="M89" s="160"/>
      <c r="N89" s="160"/>
      <c r="O89" s="161"/>
    </row>
    <row r="90" spans="1:15" s="108" customFormat="1" ht="22.5" customHeight="1">
      <c r="A90" s="119">
        <v>82</v>
      </c>
      <c r="B90" s="141" t="s">
        <v>110</v>
      </c>
      <c r="C90" s="152"/>
      <c r="D90" s="143"/>
      <c r="E90" s="121"/>
      <c r="F90" s="121"/>
      <c r="G90" s="159"/>
      <c r="H90" s="160"/>
      <c r="I90" s="160"/>
      <c r="J90" s="160"/>
      <c r="K90" s="160"/>
      <c r="L90" s="160"/>
      <c r="M90" s="160"/>
      <c r="N90" s="160"/>
      <c r="O90" s="161"/>
    </row>
    <row r="91" spans="1:15" s="108" customFormat="1" ht="22.5" customHeight="1">
      <c r="A91" s="116">
        <v>83</v>
      </c>
      <c r="B91" s="141" t="s">
        <v>111</v>
      </c>
      <c r="C91" s="152"/>
      <c r="D91" s="143"/>
      <c r="E91" s="121"/>
      <c r="F91" s="121"/>
      <c r="G91" s="159"/>
      <c r="H91" s="160"/>
      <c r="I91" s="160"/>
      <c r="J91" s="160"/>
      <c r="K91" s="160"/>
      <c r="L91" s="160"/>
      <c r="M91" s="160"/>
      <c r="N91" s="160"/>
      <c r="O91" s="161"/>
    </row>
    <row r="92" spans="1:15" s="108" customFormat="1" ht="22.5" customHeight="1">
      <c r="A92" s="119">
        <v>84</v>
      </c>
      <c r="B92" s="141" t="s">
        <v>112</v>
      </c>
      <c r="C92" s="152"/>
      <c r="D92" s="143"/>
      <c r="E92" s="121"/>
      <c r="F92" s="121"/>
      <c r="G92" s="159"/>
      <c r="H92" s="160"/>
      <c r="I92" s="160"/>
      <c r="J92" s="160"/>
      <c r="K92" s="160"/>
      <c r="L92" s="160"/>
      <c r="M92" s="160"/>
      <c r="N92" s="160"/>
      <c r="O92" s="161"/>
    </row>
    <row r="93" spans="1:15" s="108" customFormat="1" ht="22.5" customHeight="1">
      <c r="A93" s="116">
        <v>85</v>
      </c>
      <c r="B93" s="141" t="s">
        <v>113</v>
      </c>
      <c r="C93" s="152"/>
      <c r="D93" s="143"/>
      <c r="E93" s="121"/>
      <c r="F93" s="121"/>
      <c r="G93" s="159"/>
      <c r="H93" s="160"/>
      <c r="I93" s="160"/>
      <c r="J93" s="160"/>
      <c r="K93" s="160"/>
      <c r="L93" s="160"/>
      <c r="M93" s="160"/>
      <c r="N93" s="160"/>
      <c r="O93" s="161"/>
    </row>
    <row r="94" spans="1:15" s="108" customFormat="1" ht="22.5" customHeight="1">
      <c r="A94" s="119">
        <v>86</v>
      </c>
      <c r="B94" s="141" t="s">
        <v>114</v>
      </c>
      <c r="C94" s="152"/>
      <c r="D94" s="143"/>
      <c r="E94" s="121"/>
      <c r="F94" s="121"/>
      <c r="G94" s="159"/>
      <c r="H94" s="160"/>
      <c r="I94" s="160"/>
      <c r="J94" s="160"/>
      <c r="K94" s="160"/>
      <c r="L94" s="160"/>
      <c r="M94" s="160"/>
      <c r="N94" s="160"/>
      <c r="O94" s="161"/>
    </row>
    <row r="95" spans="1:15" s="108" customFormat="1" ht="22.5" customHeight="1">
      <c r="A95" s="116">
        <v>87</v>
      </c>
      <c r="B95" s="141" t="s">
        <v>115</v>
      </c>
      <c r="C95" s="152"/>
      <c r="D95" s="143"/>
      <c r="E95" s="121"/>
      <c r="F95" s="121"/>
      <c r="G95" s="159"/>
      <c r="H95" s="160"/>
      <c r="I95" s="160"/>
      <c r="J95" s="160"/>
      <c r="K95" s="160"/>
      <c r="L95" s="160"/>
      <c r="M95" s="160"/>
      <c r="N95" s="160"/>
      <c r="O95" s="161"/>
    </row>
    <row r="96" spans="1:15" s="108" customFormat="1" ht="22.5" customHeight="1">
      <c r="A96" s="119">
        <v>88</v>
      </c>
      <c r="B96" s="141" t="s">
        <v>116</v>
      </c>
      <c r="C96" s="152"/>
      <c r="D96" s="143"/>
      <c r="E96" s="121"/>
      <c r="F96" s="121"/>
      <c r="G96" s="159"/>
      <c r="H96" s="160"/>
      <c r="I96" s="160"/>
      <c r="J96" s="160"/>
      <c r="K96" s="160"/>
      <c r="L96" s="160"/>
      <c r="M96" s="160"/>
      <c r="N96" s="160"/>
      <c r="O96" s="161"/>
    </row>
    <row r="97" spans="1:15" s="108" customFormat="1" ht="22.5" customHeight="1">
      <c r="A97" s="116">
        <v>89</v>
      </c>
      <c r="B97" s="141" t="s">
        <v>117</v>
      </c>
      <c r="C97" s="152"/>
      <c r="D97" s="143"/>
      <c r="E97" s="121"/>
      <c r="F97" s="121"/>
      <c r="G97" s="159"/>
      <c r="H97" s="160"/>
      <c r="I97" s="160"/>
      <c r="J97" s="160"/>
      <c r="K97" s="160"/>
      <c r="L97" s="160"/>
      <c r="M97" s="160"/>
      <c r="N97" s="160"/>
      <c r="O97" s="161"/>
    </row>
    <row r="98" spans="1:15" s="108" customFormat="1" ht="22.5" customHeight="1">
      <c r="A98" s="119">
        <v>90</v>
      </c>
      <c r="B98" s="141" t="s">
        <v>118</v>
      </c>
      <c r="C98" s="152"/>
      <c r="D98" s="143"/>
      <c r="E98" s="121"/>
      <c r="F98" s="121"/>
      <c r="G98" s="159"/>
      <c r="H98" s="160"/>
      <c r="I98" s="160"/>
      <c r="J98" s="160"/>
      <c r="K98" s="160"/>
      <c r="L98" s="160"/>
      <c r="M98" s="160"/>
      <c r="N98" s="160"/>
      <c r="O98" s="161"/>
    </row>
    <row r="99" spans="1:15" s="108" customFormat="1" ht="22.5" customHeight="1">
      <c r="A99" s="116">
        <v>91</v>
      </c>
      <c r="B99" s="141" t="s">
        <v>119</v>
      </c>
      <c r="C99" s="152"/>
      <c r="D99" s="143"/>
      <c r="E99" s="121"/>
      <c r="F99" s="121"/>
      <c r="G99" s="159"/>
      <c r="H99" s="160"/>
      <c r="I99" s="160"/>
      <c r="J99" s="160"/>
      <c r="K99" s="160"/>
      <c r="L99" s="160"/>
      <c r="M99" s="160"/>
      <c r="N99" s="160"/>
      <c r="O99" s="161"/>
    </row>
    <row r="100" spans="1:15" s="108" customFormat="1" ht="22.5" customHeight="1">
      <c r="A100" s="119">
        <v>92</v>
      </c>
      <c r="B100" s="141" t="s">
        <v>120</v>
      </c>
      <c r="C100" s="152"/>
      <c r="D100" s="143"/>
      <c r="E100" s="121"/>
      <c r="F100" s="121"/>
      <c r="G100" s="159"/>
      <c r="H100" s="160"/>
      <c r="I100" s="160"/>
      <c r="J100" s="160"/>
      <c r="K100" s="160"/>
      <c r="L100" s="160"/>
      <c r="M100" s="160"/>
      <c r="N100" s="160"/>
      <c r="O100" s="161"/>
    </row>
    <row r="101" spans="1:15">
      <c r="B101" s="140"/>
    </row>
  </sheetData>
  <sheetProtection algorithmName="SHA-512" hashValue="ih6HzHUlqPnjQeW+D0ry+smbftK3mfcaaMtFHRLfF2r584FkgBARqLHCsZISaTzK+iseaUeUnoU0woWVSQUJSw==" saltValue="4I3iwZohay290Yy9Ka/IXw==" spinCount="100000" sheet="1" objects="1" scenarios="1"/>
  <mergeCells count="8">
    <mergeCell ref="G1:O100"/>
    <mergeCell ref="A1:F1"/>
    <mergeCell ref="A2:F2"/>
    <mergeCell ref="A3:F3"/>
    <mergeCell ref="A4:F4"/>
    <mergeCell ref="A7:B7"/>
    <mergeCell ref="C7:D7"/>
    <mergeCell ref="E7:F7"/>
  </mergeCells>
  <printOptions horizontalCentered="1"/>
  <pageMargins left="7.8740157480315001E-2" right="7.8740157480315001E-2" top="0.43307086614173201" bottom="0.118110236220472" header="0.31496062992126" footer="0.31496062992126"/>
  <pageSetup paperSize="9"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T244"/>
  <sheetViews>
    <sheetView tabSelected="1" view="pageBreakPreview" topLeftCell="A7" zoomScale="70" zoomScaleNormal="62" zoomScaleSheetLayoutView="70" workbookViewId="0">
      <selection activeCell="B145" sqref="B145:B148"/>
    </sheetView>
  </sheetViews>
  <sheetFormatPr defaultColWidth="9" defaultRowHeight="15.75"/>
  <cols>
    <col min="1" max="1" width="5.42578125" customWidth="1"/>
    <col min="2" max="2" width="7.140625" style="26" customWidth="1"/>
    <col min="3" max="3" width="49" customWidth="1"/>
    <col min="4" max="4" width="2.85546875" customWidth="1"/>
    <col min="5" max="5" width="29.42578125" customWidth="1"/>
    <col min="6" max="6" width="15.140625" style="27" bestFit="1" customWidth="1"/>
    <col min="7" max="7" width="5.42578125" style="28" hidden="1" customWidth="1"/>
    <col min="8" max="8" width="14.42578125" style="28" hidden="1" customWidth="1"/>
    <col min="9" max="9" width="17.42578125" style="27" customWidth="1"/>
    <col min="10" max="10" width="9.7109375" style="26" customWidth="1"/>
    <col min="11" max="11" width="10.42578125" customWidth="1"/>
    <col min="12" max="12" width="15.28515625" customWidth="1"/>
    <col min="13" max="13" width="4.5703125" style="67" customWidth="1"/>
    <col min="14" max="14" width="37.42578125" style="29" customWidth="1"/>
    <col min="15" max="15" width="2.7109375" style="29" customWidth="1"/>
    <col min="16" max="16" width="3.28515625" style="25" customWidth="1"/>
    <col min="17" max="17" width="12.5703125" style="25" customWidth="1"/>
    <col min="18" max="18" width="4.42578125" style="30" customWidth="1"/>
    <col min="19" max="19" width="18" style="30" customWidth="1"/>
    <col min="20" max="20" width="9.140625" style="30"/>
  </cols>
  <sheetData>
    <row r="1" spans="1:20" s="22" customFormat="1" ht="22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93"/>
      <c r="N1" s="93"/>
      <c r="O1" s="93"/>
      <c r="P1" s="93"/>
      <c r="Q1" s="93"/>
      <c r="R1" s="93"/>
    </row>
    <row r="2" spans="1:20" s="22" customFormat="1" ht="40.5" customHeight="1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93"/>
      <c r="N2" s="93"/>
      <c r="O2" s="93"/>
      <c r="P2" s="93"/>
      <c r="Q2" s="93"/>
      <c r="R2" s="93"/>
    </row>
    <row r="3" spans="1:20" s="22" customFormat="1" ht="40.5" customHeight="1">
      <c r="A3" s="188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93"/>
      <c r="N3" s="93"/>
      <c r="O3" s="93"/>
      <c r="P3" s="93"/>
      <c r="Q3" s="93"/>
      <c r="R3" s="93"/>
    </row>
    <row r="4" spans="1:20" s="22" customFormat="1" ht="78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93"/>
      <c r="N4" s="93"/>
      <c r="O4" s="93"/>
      <c r="P4" s="93"/>
      <c r="Q4" s="93"/>
      <c r="R4" s="93"/>
    </row>
    <row r="5" spans="1:20" s="23" customFormat="1" ht="2.25" customHeight="1">
      <c r="A5" s="31"/>
      <c r="B5" s="31"/>
      <c r="C5" s="31"/>
      <c r="D5" s="32"/>
      <c r="E5" s="31"/>
      <c r="F5" s="33"/>
      <c r="G5" s="34"/>
      <c r="H5" s="34"/>
      <c r="I5" s="48"/>
      <c r="J5" s="49"/>
      <c r="K5" s="50"/>
      <c r="L5" s="31"/>
      <c r="M5" s="51"/>
      <c r="N5" s="51"/>
      <c r="O5" s="51"/>
      <c r="P5" s="52"/>
      <c r="Q5" s="52"/>
      <c r="R5" s="52"/>
    </row>
    <row r="6" spans="1:20" ht="7.5" customHeight="1">
      <c r="M6" s="51"/>
      <c r="N6" s="51"/>
      <c r="O6" s="51"/>
      <c r="P6" s="52"/>
      <c r="Q6" s="52"/>
      <c r="R6" s="52"/>
      <c r="S6" s="52"/>
      <c r="T6" s="52"/>
    </row>
    <row r="7" spans="1:20" s="24" customFormat="1" ht="19.5" customHeight="1">
      <c r="A7" s="35"/>
      <c r="B7" s="35"/>
      <c r="C7" s="36" t="s">
        <v>121</v>
      </c>
      <c r="D7" s="37" t="s">
        <v>122</v>
      </c>
      <c r="E7" s="190"/>
      <c r="F7" s="190"/>
      <c r="G7" s="38"/>
      <c r="H7" s="38"/>
      <c r="I7" s="53" t="s">
        <v>123</v>
      </c>
      <c r="J7" s="53" t="s">
        <v>124</v>
      </c>
      <c r="K7" s="54" t="s">
        <v>125</v>
      </c>
      <c r="L7" s="54" t="s">
        <v>126</v>
      </c>
      <c r="M7" s="55"/>
      <c r="N7" s="55"/>
      <c r="O7" s="55"/>
      <c r="P7" s="56"/>
      <c r="Q7" s="56"/>
      <c r="R7" s="56"/>
      <c r="S7" s="56"/>
      <c r="T7" s="56"/>
    </row>
    <row r="8" spans="1:20" s="24" customFormat="1" ht="19.5" customHeight="1">
      <c r="A8" s="35"/>
      <c r="B8" s="35"/>
      <c r="C8" s="36" t="s">
        <v>127</v>
      </c>
      <c r="D8" s="37" t="s">
        <v>122</v>
      </c>
      <c r="E8" s="191"/>
      <c r="F8" s="191"/>
      <c r="G8" s="38"/>
      <c r="H8" s="38"/>
      <c r="I8" s="57" t="s">
        <v>128</v>
      </c>
      <c r="J8" s="154">
        <f>COUNTIF(D145:D244,"L")</f>
        <v>0</v>
      </c>
      <c r="K8" s="154">
        <f>COUNTIF(D145:D244,"P")</f>
        <v>0</v>
      </c>
      <c r="L8" s="58">
        <f>J8+K8</f>
        <v>0</v>
      </c>
      <c r="M8" s="55"/>
      <c r="N8" s="55"/>
      <c r="O8" s="55"/>
      <c r="P8" s="56"/>
      <c r="Q8" s="56"/>
      <c r="R8" s="56"/>
      <c r="S8" s="56"/>
      <c r="T8" s="56"/>
    </row>
    <row r="9" spans="1:20" s="24" customFormat="1" ht="19.5" customHeight="1">
      <c r="A9" s="35"/>
      <c r="B9" s="35"/>
      <c r="C9" s="36" t="s">
        <v>129</v>
      </c>
      <c r="D9" s="37" t="s">
        <v>122</v>
      </c>
      <c r="E9" s="191"/>
      <c r="F9" s="191"/>
      <c r="G9" s="38"/>
      <c r="H9" s="38"/>
      <c r="I9" s="94"/>
      <c r="J9" s="95"/>
      <c r="K9" s="95"/>
      <c r="L9" s="96"/>
      <c r="M9" s="55"/>
      <c r="N9" s="55"/>
      <c r="O9" s="55"/>
      <c r="P9" s="56"/>
      <c r="Q9" s="56"/>
      <c r="R9" s="56"/>
      <c r="S9" s="56"/>
      <c r="T9" s="56"/>
    </row>
    <row r="10" spans="1:20" s="24" customFormat="1" ht="19.5" customHeight="1">
      <c r="A10" s="35"/>
      <c r="B10" s="35"/>
      <c r="C10" s="36" t="s">
        <v>130</v>
      </c>
      <c r="D10" s="37" t="s">
        <v>122</v>
      </c>
      <c r="E10" s="192"/>
      <c r="F10" s="192"/>
      <c r="G10" s="38"/>
      <c r="H10" s="38"/>
      <c r="I10" s="59"/>
      <c r="J10" s="97"/>
      <c r="K10" s="97"/>
      <c r="L10" s="98"/>
      <c r="M10" s="55"/>
      <c r="N10" s="55"/>
      <c r="O10" s="55"/>
      <c r="P10" s="56"/>
      <c r="Q10" s="56"/>
      <c r="R10" s="56"/>
      <c r="S10" s="56"/>
      <c r="T10" s="56"/>
    </row>
    <row r="11" spans="1:20" s="24" customFormat="1" ht="19.5" customHeight="1">
      <c r="A11" s="35"/>
      <c r="B11" s="35"/>
      <c r="D11" s="193"/>
      <c r="E11" s="193"/>
      <c r="F11" s="193"/>
      <c r="G11" s="38"/>
      <c r="H11" s="38"/>
      <c r="I11" s="59"/>
      <c r="J11" s="59"/>
      <c r="K11" s="59"/>
      <c r="L11" s="99"/>
      <c r="M11" s="55"/>
      <c r="N11" s="55"/>
      <c r="O11" s="55"/>
      <c r="P11" s="56"/>
      <c r="Q11" s="56"/>
      <c r="R11" s="56"/>
      <c r="S11" s="56"/>
      <c r="T11" s="56"/>
    </row>
    <row r="12" spans="1:20" ht="6.75" customHeight="1">
      <c r="K12" s="26"/>
      <c r="M12" s="51"/>
      <c r="N12" s="51"/>
      <c r="O12" s="51"/>
      <c r="P12" s="52"/>
      <c r="Q12" s="52"/>
      <c r="R12" s="52"/>
      <c r="S12" s="52"/>
      <c r="T12" s="52"/>
    </row>
    <row r="13" spans="1:20" ht="28.5" customHeight="1">
      <c r="A13" s="182" t="s">
        <v>131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4"/>
      <c r="M13" s="51"/>
      <c r="N13" s="51"/>
      <c r="O13" s="51"/>
      <c r="P13" s="52"/>
      <c r="Q13" s="52"/>
      <c r="R13" s="52"/>
      <c r="S13" s="52"/>
      <c r="T13" s="52"/>
    </row>
    <row r="14" spans="1:20" ht="14.25" customHeight="1">
      <c r="A14" s="172" t="s">
        <v>132</v>
      </c>
      <c r="B14" s="174" t="s">
        <v>133</v>
      </c>
      <c r="C14" s="85" t="s">
        <v>134</v>
      </c>
      <c r="D14" s="176" t="s">
        <v>135</v>
      </c>
      <c r="E14" s="86" t="s">
        <v>136</v>
      </c>
      <c r="F14" s="85" t="s">
        <v>137</v>
      </c>
      <c r="G14" s="185" t="s">
        <v>138</v>
      </c>
      <c r="H14" s="186"/>
      <c r="I14" s="187"/>
      <c r="J14" s="178" t="s">
        <v>139</v>
      </c>
      <c r="K14" s="180" t="s">
        <v>140</v>
      </c>
      <c r="L14" s="180"/>
      <c r="M14" s="51"/>
      <c r="N14" s="51"/>
      <c r="O14" s="51"/>
      <c r="P14" s="52"/>
      <c r="Q14" s="52"/>
      <c r="R14" s="52"/>
      <c r="S14" s="52"/>
      <c r="T14" s="52"/>
    </row>
    <row r="15" spans="1:20">
      <c r="A15" s="173"/>
      <c r="B15" s="175"/>
      <c r="C15" s="87" t="s">
        <v>141</v>
      </c>
      <c r="D15" s="177"/>
      <c r="E15" s="88" t="s">
        <v>142</v>
      </c>
      <c r="F15" s="89" t="s">
        <v>227</v>
      </c>
      <c r="G15" s="90"/>
      <c r="H15" s="91"/>
      <c r="I15" s="100" t="s">
        <v>141</v>
      </c>
      <c r="J15" s="179"/>
      <c r="K15" s="181"/>
      <c r="L15" s="181"/>
      <c r="M15" s="51"/>
      <c r="N15" s="67"/>
      <c r="O15" s="51"/>
      <c r="P15" s="52"/>
      <c r="Q15" s="52"/>
      <c r="R15" s="52"/>
      <c r="S15" s="52"/>
      <c r="T15" s="52"/>
    </row>
    <row r="16" spans="1:20" s="25" customFormat="1" hidden="1">
      <c r="A16" s="127"/>
      <c r="B16" s="127"/>
      <c r="C16" s="137" t="e">
        <f t="shared" ref="C16:C41" si="0">VLOOKUP(B16,$M$16:$N$144,2,FALSE)</f>
        <v>#N/A</v>
      </c>
      <c r="D16" s="137"/>
      <c r="E16" s="138"/>
      <c r="F16" s="92"/>
      <c r="G16" s="129">
        <f t="shared" ref="G16:G41" si="1">DATEDIF(F16,H16,"Y")</f>
        <v>126</v>
      </c>
      <c r="H16" s="131">
        <v>46387</v>
      </c>
      <c r="I16" s="27" t="e">
        <f t="shared" ref="I16:I41" si="2">VLOOKUP(G16,$P$16:$Q$144,2,FALSE)</f>
        <v>#N/A</v>
      </c>
      <c r="J16" s="127"/>
      <c r="K16" s="129"/>
      <c r="L16" s="129"/>
      <c r="M16" s="139" t="s">
        <v>6</v>
      </c>
      <c r="N16" s="102" t="s">
        <v>178</v>
      </c>
      <c r="O16" s="56" t="s">
        <v>124</v>
      </c>
      <c r="P16" s="51">
        <v>5</v>
      </c>
      <c r="Q16" s="51" t="s">
        <v>219</v>
      </c>
      <c r="R16" s="52"/>
      <c r="S16" s="52"/>
      <c r="T16" s="52"/>
    </row>
    <row r="17" spans="1:20" s="25" customFormat="1" hidden="1">
      <c r="A17" s="127"/>
      <c r="B17" s="127"/>
      <c r="C17" s="137" t="e">
        <f t="shared" si="0"/>
        <v>#N/A</v>
      </c>
      <c r="D17" s="137"/>
      <c r="E17" s="138"/>
      <c r="F17" s="92"/>
      <c r="G17" s="129">
        <f t="shared" si="1"/>
        <v>126</v>
      </c>
      <c r="H17" s="131">
        <f>H16</f>
        <v>46387</v>
      </c>
      <c r="I17" s="27" t="e">
        <f t="shared" si="2"/>
        <v>#N/A</v>
      </c>
      <c r="J17" s="127"/>
      <c r="K17" s="129"/>
      <c r="L17" s="129"/>
      <c r="M17" s="139" t="s">
        <v>8</v>
      </c>
      <c r="N17" s="102" t="s">
        <v>179</v>
      </c>
      <c r="O17" s="56" t="s">
        <v>125</v>
      </c>
      <c r="P17" s="51">
        <v>6</v>
      </c>
      <c r="Q17" s="51" t="s">
        <v>219</v>
      </c>
      <c r="R17" s="52"/>
      <c r="S17" s="52"/>
      <c r="T17" s="52"/>
    </row>
    <row r="18" spans="1:20" s="25" customFormat="1" hidden="1">
      <c r="A18" s="127"/>
      <c r="B18" s="127"/>
      <c r="C18" s="137" t="e">
        <f t="shared" si="0"/>
        <v>#N/A</v>
      </c>
      <c r="D18" s="137"/>
      <c r="E18" s="138"/>
      <c r="F18" s="92"/>
      <c r="G18" s="129">
        <f t="shared" si="1"/>
        <v>126</v>
      </c>
      <c r="H18" s="131">
        <f t="shared" ref="H18:H41" si="3">H17</f>
        <v>46387</v>
      </c>
      <c r="I18" s="27" t="e">
        <f t="shared" si="2"/>
        <v>#N/A</v>
      </c>
      <c r="J18" s="127"/>
      <c r="K18" s="129"/>
      <c r="L18" s="129"/>
      <c r="M18" s="139" t="s">
        <v>9</v>
      </c>
      <c r="N18" s="102" t="s">
        <v>180</v>
      </c>
      <c r="O18" s="56" t="s">
        <v>124</v>
      </c>
      <c r="P18" s="51">
        <v>7</v>
      </c>
      <c r="Q18" s="51" t="s">
        <v>221</v>
      </c>
      <c r="R18" s="52"/>
      <c r="S18" s="52"/>
      <c r="T18" s="52"/>
    </row>
    <row r="19" spans="1:20" s="25" customFormat="1" hidden="1">
      <c r="A19" s="127"/>
      <c r="B19" s="127"/>
      <c r="C19" s="137" t="e">
        <f t="shared" si="0"/>
        <v>#N/A</v>
      </c>
      <c r="D19" s="137"/>
      <c r="E19" s="138"/>
      <c r="F19" s="92"/>
      <c r="G19" s="129">
        <f t="shared" si="1"/>
        <v>126</v>
      </c>
      <c r="H19" s="131">
        <f t="shared" si="3"/>
        <v>46387</v>
      </c>
      <c r="I19" s="27" t="e">
        <f t="shared" si="2"/>
        <v>#N/A</v>
      </c>
      <c r="J19" s="127"/>
      <c r="K19" s="129"/>
      <c r="L19" s="129"/>
      <c r="M19" s="139" t="s">
        <v>10</v>
      </c>
      <c r="N19" s="102" t="s">
        <v>181</v>
      </c>
      <c r="O19" s="56" t="s">
        <v>124</v>
      </c>
      <c r="P19" s="51">
        <v>8</v>
      </c>
      <c r="Q19" s="51" t="s">
        <v>221</v>
      </c>
      <c r="R19" s="52"/>
      <c r="S19" s="52"/>
      <c r="T19" s="52"/>
    </row>
    <row r="20" spans="1:20" s="25" customFormat="1" hidden="1">
      <c r="A20" s="127"/>
      <c r="B20" s="127"/>
      <c r="C20" s="137" t="e">
        <f t="shared" si="0"/>
        <v>#N/A</v>
      </c>
      <c r="D20" s="137"/>
      <c r="E20" s="138"/>
      <c r="F20" s="92"/>
      <c r="G20" s="129">
        <f t="shared" si="1"/>
        <v>126</v>
      </c>
      <c r="H20" s="131">
        <f t="shared" si="3"/>
        <v>46387</v>
      </c>
      <c r="I20" s="27" t="e">
        <f t="shared" si="2"/>
        <v>#N/A</v>
      </c>
      <c r="J20" s="127"/>
      <c r="K20" s="129"/>
      <c r="L20" s="129"/>
      <c r="M20" s="139" t="s">
        <v>11</v>
      </c>
      <c r="N20" s="102" t="s">
        <v>182</v>
      </c>
      <c r="O20" s="128" t="s">
        <v>125</v>
      </c>
      <c r="P20" s="51">
        <v>9</v>
      </c>
      <c r="Q20" s="51" t="s">
        <v>221</v>
      </c>
      <c r="R20" s="52"/>
      <c r="S20" s="52"/>
      <c r="T20" s="52"/>
    </row>
    <row r="21" spans="1:20" s="25" customFormat="1" hidden="1">
      <c r="A21" s="127"/>
      <c r="B21" s="127"/>
      <c r="C21" s="137" t="e">
        <f t="shared" si="0"/>
        <v>#N/A</v>
      </c>
      <c r="D21" s="137"/>
      <c r="E21" s="138"/>
      <c r="F21" s="92"/>
      <c r="G21" s="129">
        <f t="shared" si="1"/>
        <v>126</v>
      </c>
      <c r="H21" s="131">
        <f t="shared" si="3"/>
        <v>46387</v>
      </c>
      <c r="I21" s="27" t="e">
        <f t="shared" si="2"/>
        <v>#N/A</v>
      </c>
      <c r="J21" s="127"/>
      <c r="K21" s="129"/>
      <c r="L21" s="129"/>
      <c r="M21" s="139" t="s">
        <v>12</v>
      </c>
      <c r="N21" s="102" t="s">
        <v>183</v>
      </c>
      <c r="O21" s="128" t="s">
        <v>125</v>
      </c>
      <c r="P21" s="51">
        <v>10</v>
      </c>
      <c r="Q21" s="51" t="s">
        <v>222</v>
      </c>
      <c r="R21" s="52"/>
      <c r="S21" s="52"/>
      <c r="T21" s="52"/>
    </row>
    <row r="22" spans="1:20" s="25" customFormat="1" hidden="1">
      <c r="A22" s="127"/>
      <c r="B22" s="127"/>
      <c r="C22" s="137" t="e">
        <f t="shared" si="0"/>
        <v>#N/A</v>
      </c>
      <c r="D22" s="137"/>
      <c r="E22" s="138"/>
      <c r="F22" s="92"/>
      <c r="G22" s="129">
        <f t="shared" si="1"/>
        <v>126</v>
      </c>
      <c r="H22" s="131">
        <f t="shared" si="3"/>
        <v>46387</v>
      </c>
      <c r="I22" s="27" t="e">
        <f t="shared" si="2"/>
        <v>#N/A</v>
      </c>
      <c r="J22" s="127"/>
      <c r="K22" s="129"/>
      <c r="L22" s="129"/>
      <c r="M22" s="139" t="s">
        <v>14</v>
      </c>
      <c r="N22" s="102" t="s">
        <v>184</v>
      </c>
      <c r="O22" s="128" t="s">
        <v>124</v>
      </c>
      <c r="P22" s="51">
        <v>11</v>
      </c>
      <c r="Q22" s="51" t="s">
        <v>222</v>
      </c>
      <c r="R22" s="52"/>
      <c r="S22" s="52"/>
      <c r="T22" s="52"/>
    </row>
    <row r="23" spans="1:20" s="25" customFormat="1" hidden="1">
      <c r="A23" s="127"/>
      <c r="B23" s="127"/>
      <c r="C23" s="137" t="e">
        <f t="shared" si="0"/>
        <v>#N/A</v>
      </c>
      <c r="D23" s="137"/>
      <c r="E23" s="138"/>
      <c r="F23" s="92"/>
      <c r="G23" s="129">
        <f t="shared" si="1"/>
        <v>126</v>
      </c>
      <c r="H23" s="131">
        <f t="shared" si="3"/>
        <v>46387</v>
      </c>
      <c r="I23" s="27" t="e">
        <f t="shared" si="2"/>
        <v>#N/A</v>
      </c>
      <c r="J23" s="127"/>
      <c r="K23" s="129"/>
      <c r="L23" s="129"/>
      <c r="M23" s="139" t="s">
        <v>16</v>
      </c>
      <c r="N23" s="102" t="s">
        <v>185</v>
      </c>
      <c r="O23" s="128" t="s">
        <v>125</v>
      </c>
      <c r="P23" s="51">
        <v>12</v>
      </c>
      <c r="Q23" s="51" t="s">
        <v>222</v>
      </c>
      <c r="R23" s="52"/>
      <c r="S23" s="52"/>
      <c r="T23" s="52"/>
    </row>
    <row r="24" spans="1:20" s="25" customFormat="1" hidden="1">
      <c r="A24" s="127"/>
      <c r="B24" s="127"/>
      <c r="C24" s="137" t="e">
        <f t="shared" si="0"/>
        <v>#N/A</v>
      </c>
      <c r="D24" s="137"/>
      <c r="E24" s="138"/>
      <c r="F24" s="92"/>
      <c r="G24" s="129">
        <f t="shared" si="1"/>
        <v>126</v>
      </c>
      <c r="H24" s="131">
        <f t="shared" si="3"/>
        <v>46387</v>
      </c>
      <c r="I24" s="27" t="e">
        <f t="shared" si="2"/>
        <v>#N/A</v>
      </c>
      <c r="J24" s="127"/>
      <c r="K24" s="129"/>
      <c r="L24" s="129"/>
      <c r="M24" s="139" t="s">
        <v>17</v>
      </c>
      <c r="N24" s="102" t="s">
        <v>188</v>
      </c>
      <c r="O24" s="128" t="s">
        <v>124</v>
      </c>
      <c r="P24" s="51">
        <v>13</v>
      </c>
      <c r="Q24" s="51" t="s">
        <v>220</v>
      </c>
      <c r="R24" s="52"/>
      <c r="S24" s="52"/>
      <c r="T24" s="52"/>
    </row>
    <row r="25" spans="1:20" s="25" customFormat="1" hidden="1">
      <c r="A25" s="127"/>
      <c r="B25" s="127"/>
      <c r="C25" s="137" t="e">
        <f t="shared" si="0"/>
        <v>#N/A</v>
      </c>
      <c r="D25" s="137"/>
      <c r="E25" s="138"/>
      <c r="F25" s="92"/>
      <c r="G25" s="129">
        <f t="shared" si="1"/>
        <v>126</v>
      </c>
      <c r="H25" s="131">
        <f t="shared" si="3"/>
        <v>46387</v>
      </c>
      <c r="I25" s="27" t="e">
        <f t="shared" si="2"/>
        <v>#N/A</v>
      </c>
      <c r="J25" s="127"/>
      <c r="K25" s="129"/>
      <c r="L25" s="129"/>
      <c r="M25" s="139" t="s">
        <v>18</v>
      </c>
      <c r="N25" s="102" t="s">
        <v>189</v>
      </c>
      <c r="O25" s="128" t="s">
        <v>124</v>
      </c>
      <c r="P25" s="51">
        <v>14</v>
      </c>
      <c r="Q25" s="51" t="s">
        <v>220</v>
      </c>
      <c r="R25" s="52"/>
      <c r="S25" s="52"/>
      <c r="T25" s="52"/>
    </row>
    <row r="26" spans="1:20" s="25" customFormat="1" hidden="1">
      <c r="A26" s="127"/>
      <c r="B26" s="127"/>
      <c r="C26" s="137" t="e">
        <f t="shared" si="0"/>
        <v>#N/A</v>
      </c>
      <c r="D26" s="137"/>
      <c r="E26" s="138"/>
      <c r="F26" s="92"/>
      <c r="G26" s="129">
        <f t="shared" si="1"/>
        <v>126</v>
      </c>
      <c r="H26" s="131">
        <f t="shared" si="3"/>
        <v>46387</v>
      </c>
      <c r="I26" s="27" t="e">
        <f t="shared" si="2"/>
        <v>#N/A</v>
      </c>
      <c r="J26" s="127"/>
      <c r="K26" s="129"/>
      <c r="L26" s="129"/>
      <c r="M26" s="139" t="s">
        <v>19</v>
      </c>
      <c r="N26" s="102" t="s">
        <v>186</v>
      </c>
      <c r="O26" s="128" t="s">
        <v>125</v>
      </c>
      <c r="P26" s="51">
        <v>15</v>
      </c>
      <c r="Q26" s="51" t="s">
        <v>220</v>
      </c>
      <c r="R26" s="52"/>
      <c r="S26" s="52"/>
      <c r="T26" s="52"/>
    </row>
    <row r="27" spans="1:20" s="25" customFormat="1" hidden="1">
      <c r="A27" s="127"/>
      <c r="B27" s="127"/>
      <c r="C27" s="137" t="e">
        <f t="shared" si="0"/>
        <v>#N/A</v>
      </c>
      <c r="D27" s="137"/>
      <c r="E27" s="138"/>
      <c r="F27" s="92"/>
      <c r="G27" s="129">
        <f t="shared" si="1"/>
        <v>126</v>
      </c>
      <c r="H27" s="131">
        <f t="shared" si="3"/>
        <v>46387</v>
      </c>
      <c r="I27" s="27" t="e">
        <f t="shared" si="2"/>
        <v>#N/A</v>
      </c>
      <c r="J27" s="127"/>
      <c r="K27" s="129"/>
      <c r="L27" s="129"/>
      <c r="M27" s="139" t="s">
        <v>21</v>
      </c>
      <c r="N27" s="102" t="s">
        <v>187</v>
      </c>
      <c r="O27" s="128" t="s">
        <v>125</v>
      </c>
      <c r="P27" s="51">
        <v>16</v>
      </c>
      <c r="Q27" s="51" t="s">
        <v>223</v>
      </c>
      <c r="R27" s="52"/>
      <c r="S27" s="52"/>
      <c r="T27" s="52"/>
    </row>
    <row r="28" spans="1:20" s="25" customFormat="1" hidden="1">
      <c r="A28" s="127"/>
      <c r="B28" s="127"/>
      <c r="C28" s="137" t="e">
        <f t="shared" si="0"/>
        <v>#N/A</v>
      </c>
      <c r="D28" s="137"/>
      <c r="E28" s="138"/>
      <c r="F28" s="92"/>
      <c r="G28" s="129">
        <f t="shared" si="1"/>
        <v>126</v>
      </c>
      <c r="H28" s="131">
        <f t="shared" si="3"/>
        <v>46387</v>
      </c>
      <c r="I28" s="27" t="e">
        <f t="shared" si="2"/>
        <v>#N/A</v>
      </c>
      <c r="J28" s="127"/>
      <c r="K28" s="129"/>
      <c r="L28" s="129"/>
      <c r="M28" s="139" t="s">
        <v>23</v>
      </c>
      <c r="N28" s="102" t="s">
        <v>190</v>
      </c>
      <c r="O28" s="128" t="s">
        <v>124</v>
      </c>
      <c r="P28" s="51">
        <v>17</v>
      </c>
      <c r="Q28" s="51" t="s">
        <v>223</v>
      </c>
      <c r="R28" s="52"/>
      <c r="S28" s="52"/>
      <c r="T28" s="52"/>
    </row>
    <row r="29" spans="1:20" s="25" customFormat="1" hidden="1">
      <c r="A29" s="127"/>
      <c r="B29" s="127"/>
      <c r="C29" s="137" t="e">
        <f t="shared" si="0"/>
        <v>#N/A</v>
      </c>
      <c r="D29" s="137"/>
      <c r="E29" s="138"/>
      <c r="F29" s="92"/>
      <c r="G29" s="129">
        <f t="shared" si="1"/>
        <v>126</v>
      </c>
      <c r="H29" s="131">
        <f t="shared" si="3"/>
        <v>46387</v>
      </c>
      <c r="I29" s="27" t="e">
        <f t="shared" si="2"/>
        <v>#N/A</v>
      </c>
      <c r="J29" s="127"/>
      <c r="K29" s="129"/>
      <c r="L29" s="129"/>
      <c r="M29" s="139" t="s">
        <v>25</v>
      </c>
      <c r="N29" s="102" t="s">
        <v>191</v>
      </c>
      <c r="O29" s="128" t="s">
        <v>125</v>
      </c>
      <c r="P29" s="51">
        <v>18</v>
      </c>
      <c r="Q29" s="51" t="s">
        <v>223</v>
      </c>
      <c r="R29" s="52"/>
      <c r="S29" s="52"/>
      <c r="T29" s="52"/>
    </row>
    <row r="30" spans="1:20" s="25" customFormat="1" hidden="1">
      <c r="A30" s="127"/>
      <c r="B30" s="127"/>
      <c r="C30" s="137" t="e">
        <f t="shared" si="0"/>
        <v>#N/A</v>
      </c>
      <c r="D30" s="137"/>
      <c r="E30" s="138"/>
      <c r="F30" s="92"/>
      <c r="G30" s="129">
        <f t="shared" si="1"/>
        <v>126</v>
      </c>
      <c r="H30" s="131">
        <f t="shared" si="3"/>
        <v>46387</v>
      </c>
      <c r="I30" s="27" t="e">
        <f t="shared" si="2"/>
        <v>#N/A</v>
      </c>
      <c r="J30" s="127"/>
      <c r="K30" s="129"/>
      <c r="L30" s="129"/>
      <c r="M30" s="139" t="s">
        <v>26</v>
      </c>
      <c r="N30" s="102" t="s">
        <v>192</v>
      </c>
      <c r="O30" s="128" t="s">
        <v>124</v>
      </c>
      <c r="P30" s="51">
        <v>19</v>
      </c>
      <c r="Q30" s="51" t="s">
        <v>224</v>
      </c>
      <c r="R30" s="52"/>
      <c r="S30" s="52"/>
      <c r="T30" s="52"/>
    </row>
    <row r="31" spans="1:20" s="25" customFormat="1" hidden="1">
      <c r="A31" s="127"/>
      <c r="B31" s="127"/>
      <c r="C31" s="137" t="e">
        <f t="shared" si="0"/>
        <v>#N/A</v>
      </c>
      <c r="D31" s="137"/>
      <c r="E31" s="138"/>
      <c r="F31" s="92"/>
      <c r="G31" s="129">
        <f t="shared" si="1"/>
        <v>126</v>
      </c>
      <c r="H31" s="131">
        <f t="shared" si="3"/>
        <v>46387</v>
      </c>
      <c r="I31" s="27" t="e">
        <f t="shared" si="2"/>
        <v>#N/A</v>
      </c>
      <c r="J31" s="127"/>
      <c r="K31" s="129"/>
      <c r="L31" s="129"/>
      <c r="M31" s="139" t="s">
        <v>27</v>
      </c>
      <c r="N31" s="102" t="s">
        <v>193</v>
      </c>
      <c r="O31" s="128" t="s">
        <v>124</v>
      </c>
      <c r="P31" s="51">
        <v>20</v>
      </c>
      <c r="Q31" s="51" t="s">
        <v>224</v>
      </c>
      <c r="R31" s="52"/>
      <c r="S31" s="52"/>
      <c r="T31" s="52"/>
    </row>
    <row r="32" spans="1:20" s="25" customFormat="1" hidden="1">
      <c r="A32" s="127"/>
      <c r="B32" s="127"/>
      <c r="C32" s="137" t="e">
        <f t="shared" si="0"/>
        <v>#N/A</v>
      </c>
      <c r="D32" s="137"/>
      <c r="E32" s="138"/>
      <c r="F32" s="92"/>
      <c r="G32" s="129">
        <f t="shared" si="1"/>
        <v>126</v>
      </c>
      <c r="H32" s="131">
        <f t="shared" si="3"/>
        <v>46387</v>
      </c>
      <c r="I32" s="27" t="e">
        <f t="shared" si="2"/>
        <v>#N/A</v>
      </c>
      <c r="J32" s="127"/>
      <c r="K32" s="129"/>
      <c r="L32" s="129"/>
      <c r="M32" s="139" t="s">
        <v>29</v>
      </c>
      <c r="N32" s="102" t="s">
        <v>194</v>
      </c>
      <c r="O32" s="128" t="s">
        <v>125</v>
      </c>
      <c r="P32" s="51">
        <v>21</v>
      </c>
      <c r="Q32" s="51" t="s">
        <v>224</v>
      </c>
      <c r="R32" s="52"/>
      <c r="S32" s="52"/>
      <c r="T32" s="52"/>
    </row>
    <row r="33" spans="1:20" s="25" customFormat="1" hidden="1">
      <c r="A33" s="127"/>
      <c r="B33" s="127"/>
      <c r="C33" s="137" t="e">
        <f t="shared" si="0"/>
        <v>#N/A</v>
      </c>
      <c r="D33" s="137"/>
      <c r="E33" s="138"/>
      <c r="F33" s="92"/>
      <c r="G33" s="129">
        <f t="shared" si="1"/>
        <v>126</v>
      </c>
      <c r="H33" s="131">
        <f t="shared" si="3"/>
        <v>46387</v>
      </c>
      <c r="I33" s="27" t="e">
        <f t="shared" si="2"/>
        <v>#N/A</v>
      </c>
      <c r="J33" s="127"/>
      <c r="K33" s="129"/>
      <c r="L33" s="129"/>
      <c r="M33" s="139" t="s">
        <v>31</v>
      </c>
      <c r="N33" s="102" t="s">
        <v>195</v>
      </c>
      <c r="O33" s="128" t="s">
        <v>125</v>
      </c>
      <c r="P33" s="51">
        <v>22</v>
      </c>
      <c r="Q33" s="51" t="s">
        <v>224</v>
      </c>
      <c r="R33" s="52"/>
      <c r="S33" s="52"/>
      <c r="T33" s="52"/>
    </row>
    <row r="34" spans="1:20" s="25" customFormat="1" hidden="1">
      <c r="A34" s="127"/>
      <c r="B34" s="127"/>
      <c r="C34" s="137" t="e">
        <f t="shared" si="0"/>
        <v>#N/A</v>
      </c>
      <c r="D34" s="137"/>
      <c r="E34" s="138"/>
      <c r="F34" s="92"/>
      <c r="G34" s="129">
        <f t="shared" si="1"/>
        <v>126</v>
      </c>
      <c r="H34" s="131">
        <f t="shared" si="3"/>
        <v>46387</v>
      </c>
      <c r="I34" s="27" t="e">
        <f t="shared" si="2"/>
        <v>#N/A</v>
      </c>
      <c r="J34" s="127"/>
      <c r="K34" s="129"/>
      <c r="L34" s="129"/>
      <c r="M34" s="139" t="s">
        <v>33</v>
      </c>
      <c r="N34" s="102" t="s">
        <v>196</v>
      </c>
      <c r="O34" s="128" t="s">
        <v>124</v>
      </c>
      <c r="P34" s="51">
        <v>23</v>
      </c>
      <c r="Q34" s="51" t="s">
        <v>224</v>
      </c>
      <c r="R34" s="52"/>
      <c r="S34" s="52"/>
      <c r="T34" s="52"/>
    </row>
    <row r="35" spans="1:20" s="25" customFormat="1" hidden="1">
      <c r="A35" s="127"/>
      <c r="B35" s="127"/>
      <c r="C35" s="137" t="e">
        <f t="shared" si="0"/>
        <v>#N/A</v>
      </c>
      <c r="D35" s="137"/>
      <c r="E35" s="138"/>
      <c r="F35" s="92"/>
      <c r="G35" s="129">
        <f t="shared" si="1"/>
        <v>126</v>
      </c>
      <c r="H35" s="131">
        <f t="shared" si="3"/>
        <v>46387</v>
      </c>
      <c r="I35" s="27" t="e">
        <f t="shared" si="2"/>
        <v>#N/A</v>
      </c>
      <c r="J35" s="127"/>
      <c r="K35" s="129"/>
      <c r="L35" s="129"/>
      <c r="M35" s="139" t="s">
        <v>35</v>
      </c>
      <c r="N35" s="102" t="s">
        <v>40</v>
      </c>
      <c r="O35" s="128" t="s">
        <v>125</v>
      </c>
      <c r="P35" s="51">
        <v>24</v>
      </c>
      <c r="Q35" s="51" t="s">
        <v>224</v>
      </c>
      <c r="R35" s="52"/>
      <c r="S35" s="52"/>
      <c r="T35" s="52"/>
    </row>
    <row r="36" spans="1:20" s="25" customFormat="1" hidden="1">
      <c r="A36" s="127"/>
      <c r="B36" s="127"/>
      <c r="C36" s="137" t="e">
        <f t="shared" si="0"/>
        <v>#N/A</v>
      </c>
      <c r="D36" s="137"/>
      <c r="E36" s="138"/>
      <c r="F36" s="92"/>
      <c r="G36" s="129">
        <f t="shared" si="1"/>
        <v>126</v>
      </c>
      <c r="H36" s="131">
        <f t="shared" si="3"/>
        <v>46387</v>
      </c>
      <c r="I36" s="27" t="e">
        <f t="shared" si="2"/>
        <v>#N/A</v>
      </c>
      <c r="J36" s="127"/>
      <c r="K36" s="129"/>
      <c r="L36" s="129"/>
      <c r="M36" s="139" t="s">
        <v>37</v>
      </c>
      <c r="N36" s="102" t="s">
        <v>197</v>
      </c>
      <c r="O36" s="128" t="s">
        <v>124</v>
      </c>
      <c r="P36" s="51">
        <v>25</v>
      </c>
      <c r="Q36" s="51" t="s">
        <v>224</v>
      </c>
      <c r="R36" s="52"/>
      <c r="S36" s="52"/>
      <c r="T36" s="52"/>
    </row>
    <row r="37" spans="1:20" s="25" customFormat="1" hidden="1">
      <c r="A37" s="127"/>
      <c r="B37" s="127"/>
      <c r="C37" s="137" t="e">
        <f t="shared" si="0"/>
        <v>#N/A</v>
      </c>
      <c r="D37" s="137"/>
      <c r="E37" s="138"/>
      <c r="F37" s="92"/>
      <c r="G37" s="129">
        <f t="shared" si="1"/>
        <v>126</v>
      </c>
      <c r="H37" s="131">
        <f t="shared" si="3"/>
        <v>46387</v>
      </c>
      <c r="I37" s="27" t="e">
        <f t="shared" si="2"/>
        <v>#N/A</v>
      </c>
      <c r="J37" s="127"/>
      <c r="K37" s="129"/>
      <c r="L37" s="129"/>
      <c r="M37" s="139" t="s">
        <v>39</v>
      </c>
      <c r="N37" s="102" t="s">
        <v>217</v>
      </c>
      <c r="O37" s="128" t="s">
        <v>124</v>
      </c>
      <c r="P37" s="51">
        <v>26</v>
      </c>
      <c r="Q37" s="51" t="s">
        <v>224</v>
      </c>
      <c r="R37" s="52"/>
      <c r="S37" s="52"/>
      <c r="T37" s="52"/>
    </row>
    <row r="38" spans="1:20" s="25" customFormat="1" hidden="1">
      <c r="A38" s="127"/>
      <c r="B38" s="127"/>
      <c r="C38" s="137" t="e">
        <f t="shared" si="0"/>
        <v>#N/A</v>
      </c>
      <c r="D38" s="137"/>
      <c r="E38" s="138"/>
      <c r="F38" s="92"/>
      <c r="G38" s="129">
        <f t="shared" si="1"/>
        <v>126</v>
      </c>
      <c r="H38" s="131">
        <f t="shared" si="3"/>
        <v>46387</v>
      </c>
      <c r="I38" s="27" t="e">
        <f t="shared" si="2"/>
        <v>#N/A</v>
      </c>
      <c r="J38" s="127"/>
      <c r="K38" s="129"/>
      <c r="L38" s="129"/>
      <c r="M38" s="139" t="s">
        <v>42</v>
      </c>
      <c r="N38" s="102" t="s">
        <v>198</v>
      </c>
      <c r="O38" s="56" t="s">
        <v>124</v>
      </c>
      <c r="P38" s="51">
        <v>27</v>
      </c>
      <c r="Q38" s="51" t="s">
        <v>224</v>
      </c>
      <c r="R38" s="52"/>
      <c r="S38" s="52"/>
      <c r="T38" s="52"/>
    </row>
    <row r="39" spans="1:20" s="25" customFormat="1" hidden="1">
      <c r="A39" s="127"/>
      <c r="B39" s="127"/>
      <c r="C39" s="137" t="e">
        <f t="shared" si="0"/>
        <v>#N/A</v>
      </c>
      <c r="D39" s="137"/>
      <c r="E39" s="138"/>
      <c r="F39" s="92"/>
      <c r="G39" s="129">
        <f t="shared" si="1"/>
        <v>126</v>
      </c>
      <c r="H39" s="131">
        <f t="shared" si="3"/>
        <v>46387</v>
      </c>
      <c r="I39" s="27" t="e">
        <f t="shared" si="2"/>
        <v>#N/A</v>
      </c>
      <c r="J39" s="127"/>
      <c r="K39" s="129"/>
      <c r="L39" s="129"/>
      <c r="M39" s="139" t="s">
        <v>44</v>
      </c>
      <c r="N39" s="102" t="s">
        <v>199</v>
      </c>
      <c r="O39" s="128" t="s">
        <v>125</v>
      </c>
      <c r="P39" s="51">
        <v>28</v>
      </c>
      <c r="Q39" s="51" t="s">
        <v>224</v>
      </c>
      <c r="R39" s="52"/>
      <c r="S39" s="52"/>
      <c r="T39" s="52"/>
    </row>
    <row r="40" spans="1:20" s="25" customFormat="1" hidden="1">
      <c r="A40" s="127"/>
      <c r="B40" s="127"/>
      <c r="C40" s="137" t="e">
        <f t="shared" si="0"/>
        <v>#N/A</v>
      </c>
      <c r="D40" s="137"/>
      <c r="E40" s="138"/>
      <c r="F40" s="92"/>
      <c r="G40" s="129">
        <f t="shared" si="1"/>
        <v>126</v>
      </c>
      <c r="H40" s="131">
        <f t="shared" si="3"/>
        <v>46387</v>
      </c>
      <c r="I40" s="27" t="e">
        <f t="shared" si="2"/>
        <v>#N/A</v>
      </c>
      <c r="J40" s="127"/>
      <c r="K40" s="129"/>
      <c r="L40" s="129"/>
      <c r="M40" s="139" t="s">
        <v>46</v>
      </c>
      <c r="N40" s="102" t="s">
        <v>218</v>
      </c>
      <c r="O40" s="128" t="s">
        <v>125</v>
      </c>
      <c r="P40" s="51">
        <v>29</v>
      </c>
      <c r="Q40" s="51" t="s">
        <v>224</v>
      </c>
      <c r="R40" s="52"/>
      <c r="S40" s="52"/>
      <c r="T40" s="52"/>
    </row>
    <row r="41" spans="1:20" s="25" customFormat="1" hidden="1">
      <c r="A41" s="127"/>
      <c r="B41" s="127"/>
      <c r="C41" s="137" t="e">
        <f t="shared" si="0"/>
        <v>#N/A</v>
      </c>
      <c r="D41" s="137"/>
      <c r="E41" s="138"/>
      <c r="F41" s="92"/>
      <c r="G41" s="129">
        <f t="shared" si="1"/>
        <v>126</v>
      </c>
      <c r="H41" s="131">
        <f t="shared" si="3"/>
        <v>46387</v>
      </c>
      <c r="I41" s="27" t="e">
        <f t="shared" si="2"/>
        <v>#N/A</v>
      </c>
      <c r="J41" s="127"/>
      <c r="K41" s="129"/>
      <c r="L41" s="129"/>
      <c r="M41" s="139" t="s">
        <v>48</v>
      </c>
      <c r="N41" s="102" t="s">
        <v>200</v>
      </c>
      <c r="O41" s="128" t="s">
        <v>125</v>
      </c>
      <c r="P41" s="51">
        <v>30</v>
      </c>
      <c r="Q41" s="51" t="s">
        <v>224</v>
      </c>
      <c r="R41" s="52"/>
      <c r="S41" s="52"/>
      <c r="T41" s="52"/>
    </row>
    <row r="42" spans="1:20" s="25" customFormat="1" hidden="1">
      <c r="A42" s="127"/>
      <c r="B42" s="127"/>
      <c r="C42" s="137"/>
      <c r="D42" s="137"/>
      <c r="E42" s="138"/>
      <c r="F42" s="92"/>
      <c r="G42" s="129"/>
      <c r="H42" s="131"/>
      <c r="I42" s="27"/>
      <c r="J42" s="127"/>
      <c r="K42" s="129"/>
      <c r="L42" s="129"/>
      <c r="M42" s="139" t="s">
        <v>50</v>
      </c>
      <c r="N42" s="102" t="s">
        <v>201</v>
      </c>
      <c r="O42" s="128" t="s">
        <v>124</v>
      </c>
      <c r="P42" s="51">
        <v>31</v>
      </c>
      <c r="Q42" s="51" t="s">
        <v>224</v>
      </c>
      <c r="R42" s="52"/>
      <c r="S42" s="52"/>
      <c r="T42" s="52"/>
    </row>
    <row r="43" spans="1:20" s="25" customFormat="1" hidden="1">
      <c r="A43" s="127"/>
      <c r="B43" s="127"/>
      <c r="C43" s="137"/>
      <c r="D43" s="137"/>
      <c r="E43" s="138"/>
      <c r="F43" s="92"/>
      <c r="G43" s="129"/>
      <c r="H43" s="131"/>
      <c r="I43" s="27"/>
      <c r="J43" s="127"/>
      <c r="K43" s="129"/>
      <c r="L43" s="129"/>
      <c r="M43" s="139" t="s">
        <v>52</v>
      </c>
      <c r="N43" s="102" t="s">
        <v>202</v>
      </c>
      <c r="O43" s="155" t="s">
        <v>125</v>
      </c>
      <c r="P43" s="51">
        <v>32</v>
      </c>
      <c r="Q43" s="51" t="s">
        <v>224</v>
      </c>
      <c r="R43" s="52"/>
      <c r="S43" s="52"/>
      <c r="T43" s="52"/>
    </row>
    <row r="44" spans="1:20" s="25" customFormat="1" hidden="1">
      <c r="A44" s="127"/>
      <c r="B44" s="127"/>
      <c r="C44" s="137"/>
      <c r="D44" s="137"/>
      <c r="E44" s="138"/>
      <c r="F44" s="92"/>
      <c r="G44" s="129"/>
      <c r="H44" s="131"/>
      <c r="I44" s="27"/>
      <c r="J44" s="127"/>
      <c r="K44" s="129"/>
      <c r="L44" s="129"/>
      <c r="M44" s="139" t="s">
        <v>54</v>
      </c>
      <c r="N44" s="102" t="s">
        <v>203</v>
      </c>
      <c r="O44" s="128" t="s">
        <v>124</v>
      </c>
      <c r="P44" s="51">
        <v>33</v>
      </c>
      <c r="Q44" s="51" t="s">
        <v>224</v>
      </c>
      <c r="R44" s="52"/>
      <c r="S44" s="52"/>
      <c r="T44" s="52"/>
    </row>
    <row r="45" spans="1:20" s="25" customFormat="1" hidden="1">
      <c r="A45" s="127"/>
      <c r="B45" s="127"/>
      <c r="C45" s="137"/>
      <c r="D45" s="137"/>
      <c r="E45" s="138"/>
      <c r="F45" s="92"/>
      <c r="G45" s="129"/>
      <c r="H45" s="131"/>
      <c r="I45" s="27"/>
      <c r="J45" s="127"/>
      <c r="K45" s="129"/>
      <c r="L45" s="129"/>
      <c r="M45" s="139" t="s">
        <v>56</v>
      </c>
      <c r="N45" s="102" t="s">
        <v>204</v>
      </c>
      <c r="O45" s="128" t="s">
        <v>124</v>
      </c>
      <c r="P45" s="51">
        <v>34</v>
      </c>
      <c r="Q45" s="51" t="s">
        <v>224</v>
      </c>
      <c r="R45" s="52"/>
      <c r="S45" s="52"/>
      <c r="T45" s="52"/>
    </row>
    <row r="46" spans="1:20" s="25" customFormat="1" hidden="1">
      <c r="A46" s="127"/>
      <c r="B46" s="127"/>
      <c r="C46" s="137"/>
      <c r="D46" s="137"/>
      <c r="E46" s="138"/>
      <c r="F46" s="92"/>
      <c r="G46" s="129"/>
      <c r="H46" s="131"/>
      <c r="I46" s="27"/>
      <c r="J46" s="127"/>
      <c r="K46" s="129"/>
      <c r="L46" s="129"/>
      <c r="M46" s="139" t="s">
        <v>58</v>
      </c>
      <c r="N46" s="102" t="s">
        <v>205</v>
      </c>
      <c r="O46" s="128" t="s">
        <v>124</v>
      </c>
      <c r="P46" s="51">
        <v>35</v>
      </c>
      <c r="Q46" s="51" t="s">
        <v>224</v>
      </c>
      <c r="R46" s="52"/>
      <c r="S46" s="52"/>
      <c r="T46" s="52"/>
    </row>
    <row r="47" spans="1:20" s="25" customFormat="1" hidden="1">
      <c r="A47" s="127"/>
      <c r="B47" s="127"/>
      <c r="C47" s="137"/>
      <c r="D47" s="137"/>
      <c r="E47" s="138"/>
      <c r="F47" s="92"/>
      <c r="G47" s="129"/>
      <c r="H47" s="131"/>
      <c r="I47" s="27"/>
      <c r="J47" s="127"/>
      <c r="K47" s="129"/>
      <c r="L47" s="129"/>
      <c r="M47" s="139" t="s">
        <v>59</v>
      </c>
      <c r="N47" s="102" t="s">
        <v>206</v>
      </c>
      <c r="O47" s="128" t="s">
        <v>125</v>
      </c>
      <c r="P47" s="51">
        <v>36</v>
      </c>
      <c r="Q47" s="51" t="s">
        <v>224</v>
      </c>
      <c r="R47" s="52"/>
      <c r="S47" s="52"/>
      <c r="T47" s="52"/>
    </row>
    <row r="48" spans="1:20" s="25" customFormat="1" hidden="1">
      <c r="A48" s="127"/>
      <c r="B48" s="127"/>
      <c r="C48" s="137"/>
      <c r="D48" s="137"/>
      <c r="E48" s="138"/>
      <c r="F48" s="92"/>
      <c r="G48" s="129"/>
      <c r="H48" s="131"/>
      <c r="I48" s="27"/>
      <c r="J48" s="127"/>
      <c r="K48" s="129"/>
      <c r="L48" s="129"/>
      <c r="M48" s="139" t="s">
        <v>60</v>
      </c>
      <c r="N48" s="102" t="s">
        <v>207</v>
      </c>
      <c r="O48" s="128" t="s">
        <v>125</v>
      </c>
      <c r="P48" s="51">
        <v>37</v>
      </c>
      <c r="Q48" s="51" t="s">
        <v>224</v>
      </c>
      <c r="R48" s="52"/>
      <c r="S48" s="52"/>
      <c r="T48" s="52"/>
    </row>
    <row r="49" spans="1:20" s="25" customFormat="1" hidden="1">
      <c r="A49" s="127"/>
      <c r="B49" s="127"/>
      <c r="C49" s="137"/>
      <c r="D49" s="137"/>
      <c r="E49" s="138"/>
      <c r="F49" s="92"/>
      <c r="G49" s="129"/>
      <c r="H49" s="131"/>
      <c r="I49" s="27"/>
      <c r="J49" s="127"/>
      <c r="K49" s="129"/>
      <c r="L49" s="129"/>
      <c r="M49" s="139" t="s">
        <v>62</v>
      </c>
      <c r="N49" s="102" t="s">
        <v>208</v>
      </c>
      <c r="O49" s="128" t="s">
        <v>125</v>
      </c>
      <c r="P49" s="51">
        <v>38</v>
      </c>
      <c r="Q49" s="51" t="s">
        <v>224</v>
      </c>
      <c r="R49" s="52"/>
      <c r="S49" s="52"/>
      <c r="T49" s="52"/>
    </row>
    <row r="50" spans="1:20" s="25" customFormat="1" hidden="1">
      <c r="A50" s="127"/>
      <c r="B50" s="127"/>
      <c r="C50" s="137"/>
      <c r="D50" s="137"/>
      <c r="E50" s="138"/>
      <c r="F50" s="92"/>
      <c r="G50" s="129"/>
      <c r="H50" s="131"/>
      <c r="I50" s="27"/>
      <c r="J50" s="127"/>
      <c r="K50" s="129"/>
      <c r="L50" s="129"/>
      <c r="M50" s="139" t="s">
        <v>64</v>
      </c>
      <c r="N50" s="102" t="s">
        <v>209</v>
      </c>
      <c r="O50" s="128" t="s">
        <v>124</v>
      </c>
      <c r="P50" s="51">
        <v>39</v>
      </c>
      <c r="Q50" s="51" t="s">
        <v>224</v>
      </c>
      <c r="R50" s="52"/>
      <c r="S50" s="52"/>
      <c r="T50" s="52"/>
    </row>
    <row r="51" spans="1:20" s="25" customFormat="1" hidden="1">
      <c r="A51" s="127"/>
      <c r="B51" s="127"/>
      <c r="C51" s="137"/>
      <c r="D51" s="137"/>
      <c r="E51" s="138"/>
      <c r="F51" s="92"/>
      <c r="G51" s="129"/>
      <c r="H51" s="131"/>
      <c r="I51" s="27"/>
      <c r="J51" s="127"/>
      <c r="K51" s="129"/>
      <c r="L51" s="129"/>
      <c r="M51" s="139" t="s">
        <v>65</v>
      </c>
      <c r="N51" s="102" t="s">
        <v>210</v>
      </c>
      <c r="O51" s="128" t="s">
        <v>125</v>
      </c>
      <c r="P51" s="51">
        <v>40</v>
      </c>
      <c r="Q51" s="51" t="s">
        <v>224</v>
      </c>
      <c r="R51" s="52"/>
      <c r="S51" s="52"/>
      <c r="T51" s="52"/>
    </row>
    <row r="52" spans="1:20" s="25" customFormat="1" hidden="1">
      <c r="A52" s="127"/>
      <c r="B52" s="127"/>
      <c r="C52" s="137"/>
      <c r="D52" s="137"/>
      <c r="E52" s="138"/>
      <c r="F52" s="92"/>
      <c r="G52" s="129"/>
      <c r="H52" s="131"/>
      <c r="I52" s="27"/>
      <c r="J52" s="127"/>
      <c r="K52" s="129"/>
      <c r="L52" s="129"/>
      <c r="M52" s="139" t="s">
        <v>67</v>
      </c>
      <c r="N52" s="102" t="s">
        <v>211</v>
      </c>
      <c r="O52" s="128" t="s">
        <v>124</v>
      </c>
      <c r="P52" s="51">
        <v>41</v>
      </c>
      <c r="Q52" s="51" t="s">
        <v>224</v>
      </c>
      <c r="R52" s="52"/>
      <c r="S52" s="52"/>
      <c r="T52" s="52"/>
    </row>
    <row r="53" spans="1:20" s="25" customFormat="1" hidden="1">
      <c r="A53" s="127"/>
      <c r="B53" s="127"/>
      <c r="C53" s="137"/>
      <c r="D53" s="137"/>
      <c r="E53" s="138"/>
      <c r="F53" s="92"/>
      <c r="G53" s="129"/>
      <c r="H53" s="131"/>
      <c r="I53" s="27"/>
      <c r="J53" s="127"/>
      <c r="K53" s="129"/>
      <c r="L53" s="129"/>
      <c r="M53" s="139" t="s">
        <v>69</v>
      </c>
      <c r="N53" s="102" t="s">
        <v>213</v>
      </c>
      <c r="O53" s="128" t="s">
        <v>124</v>
      </c>
      <c r="P53" s="51">
        <v>42</v>
      </c>
      <c r="Q53" s="51" t="s">
        <v>224</v>
      </c>
      <c r="R53" s="52"/>
      <c r="S53" s="52"/>
      <c r="T53" s="52"/>
    </row>
    <row r="54" spans="1:20" s="25" customFormat="1" hidden="1">
      <c r="A54" s="127"/>
      <c r="B54" s="127"/>
      <c r="C54" s="137"/>
      <c r="D54" s="137"/>
      <c r="E54" s="138"/>
      <c r="F54" s="92"/>
      <c r="G54" s="129"/>
      <c r="H54" s="131"/>
      <c r="I54" s="27"/>
      <c r="J54" s="127"/>
      <c r="K54" s="129"/>
      <c r="L54" s="129"/>
      <c r="M54" s="139" t="s">
        <v>71</v>
      </c>
      <c r="N54" s="102" t="s">
        <v>214</v>
      </c>
      <c r="O54" s="128" t="s">
        <v>124</v>
      </c>
      <c r="P54" s="51">
        <v>43</v>
      </c>
      <c r="Q54" s="51" t="s">
        <v>224</v>
      </c>
      <c r="R54" s="52"/>
      <c r="S54" s="52"/>
      <c r="T54" s="52"/>
    </row>
    <row r="55" spans="1:20" s="25" customFormat="1" hidden="1">
      <c r="A55" s="127"/>
      <c r="B55" s="127"/>
      <c r="C55" s="137"/>
      <c r="D55" s="137"/>
      <c r="E55" s="138"/>
      <c r="F55" s="92"/>
      <c r="G55" s="129"/>
      <c r="H55" s="131"/>
      <c r="I55" s="27"/>
      <c r="J55" s="127"/>
      <c r="K55" s="129"/>
      <c r="L55" s="129"/>
      <c r="M55" s="139" t="s">
        <v>73</v>
      </c>
      <c r="N55" s="102" t="s">
        <v>212</v>
      </c>
      <c r="O55" s="128" t="s">
        <v>125</v>
      </c>
      <c r="P55" s="51">
        <v>44</v>
      </c>
      <c r="Q55" s="51" t="s">
        <v>224</v>
      </c>
      <c r="R55" s="52"/>
      <c r="S55" s="52"/>
      <c r="T55" s="52"/>
    </row>
    <row r="56" spans="1:20" s="25" customFormat="1" hidden="1">
      <c r="A56" s="127"/>
      <c r="B56" s="127"/>
      <c r="C56" s="137"/>
      <c r="D56" s="137"/>
      <c r="E56" s="138"/>
      <c r="F56" s="92"/>
      <c r="G56" s="129"/>
      <c r="H56" s="131"/>
      <c r="I56" s="27"/>
      <c r="J56" s="127"/>
      <c r="K56" s="129"/>
      <c r="L56" s="129"/>
      <c r="M56" s="139" t="s">
        <v>75</v>
      </c>
      <c r="N56" s="102" t="s">
        <v>215</v>
      </c>
      <c r="O56" s="128" t="s">
        <v>125</v>
      </c>
      <c r="P56" s="51">
        <v>45</v>
      </c>
      <c r="Q56" s="51" t="s">
        <v>224</v>
      </c>
      <c r="R56" s="52"/>
      <c r="S56" s="52"/>
      <c r="T56" s="52"/>
    </row>
    <row r="57" spans="1:20" s="25" customFormat="1" hidden="1">
      <c r="A57" s="127"/>
      <c r="B57" s="127"/>
      <c r="C57" s="137"/>
      <c r="D57" s="137"/>
      <c r="E57" s="138"/>
      <c r="F57" s="92"/>
      <c r="G57" s="129"/>
      <c r="H57" s="131"/>
      <c r="I57" s="27"/>
      <c r="J57" s="127"/>
      <c r="K57" s="129"/>
      <c r="L57" s="129"/>
      <c r="M57" s="139" t="s">
        <v>77</v>
      </c>
      <c r="N57" s="102" t="s">
        <v>216</v>
      </c>
      <c r="O57" s="128" t="s">
        <v>125</v>
      </c>
      <c r="P57" s="51">
        <v>46</v>
      </c>
      <c r="Q57" s="51" t="s">
        <v>224</v>
      </c>
      <c r="R57" s="52"/>
      <c r="S57" s="52"/>
      <c r="T57" s="52"/>
    </row>
    <row r="58" spans="1:20" s="25" customFormat="1" hidden="1">
      <c r="A58" s="127"/>
      <c r="B58" s="127"/>
      <c r="C58" s="137"/>
      <c r="D58" s="137"/>
      <c r="E58" s="138"/>
      <c r="F58" s="92"/>
      <c r="G58" s="129"/>
      <c r="H58" s="131"/>
      <c r="I58" s="27"/>
      <c r="J58" s="127"/>
      <c r="K58" s="129"/>
      <c r="L58" s="129"/>
      <c r="M58" s="139"/>
      <c r="N58" s="102"/>
      <c r="O58" s="56"/>
      <c r="P58" s="51">
        <v>47</v>
      </c>
      <c r="Q58" s="51" t="s">
        <v>224</v>
      </c>
      <c r="R58" s="52"/>
      <c r="S58" s="52"/>
      <c r="T58" s="52"/>
    </row>
    <row r="59" spans="1:20" s="25" customFormat="1" hidden="1">
      <c r="A59" s="127"/>
      <c r="B59" s="127"/>
      <c r="C59" s="137"/>
      <c r="D59" s="137"/>
      <c r="E59" s="138"/>
      <c r="F59" s="92"/>
      <c r="G59" s="129"/>
      <c r="H59" s="131"/>
      <c r="I59" s="27"/>
      <c r="J59" s="127"/>
      <c r="K59" s="129"/>
      <c r="L59" s="129"/>
      <c r="M59" s="139"/>
      <c r="N59" s="102"/>
      <c r="O59" s="56"/>
      <c r="P59" s="51">
        <v>48</v>
      </c>
      <c r="Q59" s="51" t="s">
        <v>224</v>
      </c>
      <c r="R59" s="52"/>
      <c r="S59" s="52"/>
      <c r="T59" s="52"/>
    </row>
    <row r="60" spans="1:20" s="25" customFormat="1" hidden="1">
      <c r="A60" s="127"/>
      <c r="B60" s="127"/>
      <c r="C60" s="137"/>
      <c r="D60" s="137"/>
      <c r="E60" s="138"/>
      <c r="F60" s="92"/>
      <c r="G60" s="129"/>
      <c r="H60" s="131"/>
      <c r="I60" s="27"/>
      <c r="J60" s="127"/>
      <c r="K60" s="129"/>
      <c r="L60" s="129"/>
      <c r="M60" s="139"/>
      <c r="N60" s="102"/>
      <c r="O60" s="56"/>
      <c r="P60" s="51">
        <v>49</v>
      </c>
      <c r="Q60" s="51" t="s">
        <v>224</v>
      </c>
      <c r="R60" s="52"/>
      <c r="S60" s="52"/>
      <c r="T60" s="52"/>
    </row>
    <row r="61" spans="1:20" s="25" customFormat="1" hidden="1">
      <c r="A61" s="127"/>
      <c r="B61" s="127"/>
      <c r="C61" s="137"/>
      <c r="D61" s="137"/>
      <c r="E61" s="138"/>
      <c r="F61" s="92"/>
      <c r="G61" s="129"/>
      <c r="H61" s="131"/>
      <c r="I61" s="27"/>
      <c r="J61" s="127"/>
      <c r="K61" s="129"/>
      <c r="L61" s="129"/>
      <c r="M61" s="139"/>
      <c r="N61" s="102"/>
      <c r="O61" s="56"/>
      <c r="P61" s="51">
        <v>50</v>
      </c>
      <c r="Q61" s="51" t="s">
        <v>224</v>
      </c>
      <c r="R61" s="52"/>
      <c r="S61" s="52"/>
      <c r="T61" s="52"/>
    </row>
    <row r="62" spans="1:20" s="25" customFormat="1" hidden="1">
      <c r="A62" s="127"/>
      <c r="B62" s="127"/>
      <c r="C62" s="137"/>
      <c r="D62" s="137"/>
      <c r="E62" s="138"/>
      <c r="F62" s="92"/>
      <c r="G62" s="129"/>
      <c r="H62" s="131"/>
      <c r="I62" s="27"/>
      <c r="J62" s="127"/>
      <c r="K62" s="129"/>
      <c r="L62" s="129"/>
      <c r="M62" s="139"/>
      <c r="N62" s="102"/>
      <c r="O62" s="56"/>
      <c r="P62" s="51">
        <v>51</v>
      </c>
      <c r="Q62" s="51" t="s">
        <v>224</v>
      </c>
      <c r="R62" s="52"/>
      <c r="S62" s="52"/>
      <c r="T62" s="52"/>
    </row>
    <row r="63" spans="1:20" s="25" customFormat="1" hidden="1">
      <c r="A63" s="127"/>
      <c r="B63" s="127"/>
      <c r="C63" s="137"/>
      <c r="D63" s="137"/>
      <c r="E63" s="138"/>
      <c r="F63" s="92"/>
      <c r="G63" s="129"/>
      <c r="H63" s="131"/>
      <c r="I63" s="27"/>
      <c r="J63" s="127"/>
      <c r="K63" s="129"/>
      <c r="L63" s="129"/>
      <c r="M63" s="139"/>
      <c r="N63" s="102"/>
      <c r="O63" s="56"/>
      <c r="P63" s="51">
        <v>52</v>
      </c>
      <c r="Q63" s="51" t="s">
        <v>224</v>
      </c>
      <c r="R63" s="52"/>
      <c r="S63" s="52"/>
      <c r="T63" s="52"/>
    </row>
    <row r="64" spans="1:20" s="25" customFormat="1" hidden="1">
      <c r="A64" s="127"/>
      <c r="B64" s="127"/>
      <c r="C64" s="137"/>
      <c r="D64" s="137"/>
      <c r="E64" s="138"/>
      <c r="F64" s="92"/>
      <c r="G64" s="129"/>
      <c r="H64" s="131"/>
      <c r="I64" s="27"/>
      <c r="J64" s="127"/>
      <c r="K64" s="129"/>
      <c r="L64" s="129"/>
      <c r="M64" s="139"/>
      <c r="N64" s="102"/>
      <c r="O64" s="56"/>
      <c r="P64" s="51">
        <v>53</v>
      </c>
      <c r="Q64" s="51" t="s">
        <v>224</v>
      </c>
      <c r="R64" s="52"/>
      <c r="S64" s="52"/>
      <c r="T64" s="52"/>
    </row>
    <row r="65" spans="1:20" s="25" customFormat="1" hidden="1">
      <c r="A65" s="127"/>
      <c r="B65" s="127"/>
      <c r="C65" s="137"/>
      <c r="D65" s="137"/>
      <c r="E65" s="138"/>
      <c r="F65" s="92"/>
      <c r="G65" s="129"/>
      <c r="H65" s="131"/>
      <c r="I65" s="27"/>
      <c r="J65" s="127"/>
      <c r="K65" s="129"/>
      <c r="L65" s="129"/>
      <c r="M65" s="139"/>
      <c r="N65" s="102"/>
      <c r="O65" s="56"/>
      <c r="P65" s="51">
        <v>54</v>
      </c>
      <c r="Q65" s="51" t="s">
        <v>224</v>
      </c>
      <c r="R65" s="52"/>
      <c r="S65" s="52"/>
      <c r="T65" s="52"/>
    </row>
    <row r="66" spans="1:20" s="25" customFormat="1" hidden="1">
      <c r="A66" s="127"/>
      <c r="B66" s="127"/>
      <c r="C66" s="137"/>
      <c r="D66" s="137"/>
      <c r="E66" s="138"/>
      <c r="F66" s="92"/>
      <c r="G66" s="129"/>
      <c r="H66" s="131"/>
      <c r="I66" s="27"/>
      <c r="J66" s="127"/>
      <c r="K66" s="129"/>
      <c r="L66" s="129"/>
      <c r="M66" s="139"/>
      <c r="N66" s="102"/>
      <c r="O66" s="56"/>
      <c r="P66" s="51">
        <v>55</v>
      </c>
      <c r="Q66" s="51" t="s">
        <v>224</v>
      </c>
      <c r="R66" s="52"/>
      <c r="S66" s="52"/>
      <c r="T66" s="52"/>
    </row>
    <row r="67" spans="1:20" s="25" customFormat="1" hidden="1">
      <c r="A67" s="127"/>
      <c r="B67" s="127"/>
      <c r="C67" s="137"/>
      <c r="D67" s="137"/>
      <c r="E67" s="138"/>
      <c r="F67" s="92"/>
      <c r="G67" s="129"/>
      <c r="H67" s="131"/>
      <c r="I67" s="27"/>
      <c r="J67" s="127"/>
      <c r="K67" s="129"/>
      <c r="L67" s="129"/>
      <c r="M67" s="139"/>
      <c r="N67" s="102"/>
      <c r="O67" s="56"/>
      <c r="P67" s="51">
        <v>56</v>
      </c>
      <c r="Q67" s="51" t="s">
        <v>224</v>
      </c>
      <c r="R67" s="52"/>
      <c r="S67" s="52"/>
      <c r="T67" s="52"/>
    </row>
    <row r="68" spans="1:20" s="25" customFormat="1" hidden="1">
      <c r="A68" s="127"/>
      <c r="B68" s="127"/>
      <c r="C68" s="137"/>
      <c r="D68" s="137"/>
      <c r="E68" s="138"/>
      <c r="F68" s="92"/>
      <c r="G68" s="129"/>
      <c r="H68" s="131"/>
      <c r="I68" s="27"/>
      <c r="J68" s="127"/>
      <c r="K68" s="129"/>
      <c r="L68" s="129"/>
      <c r="M68" s="139"/>
      <c r="N68" s="102"/>
      <c r="O68" s="56"/>
      <c r="P68" s="51">
        <v>57</v>
      </c>
      <c r="Q68" s="51" t="s">
        <v>224</v>
      </c>
      <c r="R68" s="52"/>
      <c r="S68" s="52"/>
      <c r="T68" s="52"/>
    </row>
    <row r="69" spans="1:20" s="25" customFormat="1" hidden="1">
      <c r="A69" s="127"/>
      <c r="B69" s="127"/>
      <c r="C69" s="137"/>
      <c r="D69" s="137"/>
      <c r="E69" s="138"/>
      <c r="F69" s="92"/>
      <c r="G69" s="129"/>
      <c r="H69" s="131"/>
      <c r="I69" s="27"/>
      <c r="J69" s="127"/>
      <c r="K69" s="129"/>
      <c r="L69" s="129"/>
      <c r="M69" s="139"/>
      <c r="N69" s="102"/>
      <c r="O69" s="56"/>
      <c r="P69" s="51">
        <v>58</v>
      </c>
      <c r="Q69" s="51" t="s">
        <v>224</v>
      </c>
      <c r="R69" s="52"/>
      <c r="S69" s="52"/>
      <c r="T69" s="52"/>
    </row>
    <row r="70" spans="1:20" s="25" customFormat="1" hidden="1">
      <c r="A70" s="127"/>
      <c r="B70" s="127"/>
      <c r="C70" s="137"/>
      <c r="D70" s="137"/>
      <c r="E70" s="138"/>
      <c r="F70" s="92"/>
      <c r="G70" s="129"/>
      <c r="H70" s="131"/>
      <c r="I70" s="27"/>
      <c r="J70" s="127"/>
      <c r="K70" s="129"/>
      <c r="L70" s="129"/>
      <c r="M70" s="139"/>
      <c r="N70" s="102"/>
      <c r="O70" s="56"/>
      <c r="P70" s="51">
        <v>59</v>
      </c>
      <c r="Q70" s="51" t="s">
        <v>224</v>
      </c>
      <c r="R70" s="52"/>
      <c r="S70" s="52"/>
      <c r="T70" s="52"/>
    </row>
    <row r="71" spans="1:20" s="25" customFormat="1" hidden="1">
      <c r="A71" s="127"/>
      <c r="B71" s="127"/>
      <c r="C71" s="137"/>
      <c r="D71" s="137"/>
      <c r="E71" s="138"/>
      <c r="F71" s="92"/>
      <c r="G71" s="129"/>
      <c r="H71" s="131"/>
      <c r="I71" s="27"/>
      <c r="J71" s="127"/>
      <c r="K71" s="129"/>
      <c r="L71" s="129"/>
      <c r="M71" s="139"/>
      <c r="N71" s="102"/>
      <c r="O71" s="56"/>
      <c r="P71" s="51">
        <v>60</v>
      </c>
      <c r="Q71" s="51" t="s">
        <v>224</v>
      </c>
      <c r="R71" s="52"/>
      <c r="S71" s="52"/>
      <c r="T71" s="52"/>
    </row>
    <row r="72" spans="1:20" s="25" customFormat="1" hidden="1">
      <c r="A72" s="28"/>
      <c r="B72" s="28"/>
      <c r="C72" s="44"/>
      <c r="D72" s="44"/>
      <c r="E72" s="45"/>
      <c r="F72" s="92"/>
      <c r="H72" s="47"/>
      <c r="I72" s="60"/>
      <c r="J72" s="28"/>
      <c r="M72" s="101"/>
      <c r="N72" s="103"/>
      <c r="O72" s="56"/>
      <c r="P72" s="51">
        <v>61</v>
      </c>
      <c r="Q72" s="51" t="s">
        <v>224</v>
      </c>
      <c r="R72" s="52"/>
      <c r="S72" s="52"/>
      <c r="T72" s="52"/>
    </row>
    <row r="73" spans="1:20" s="25" customFormat="1" hidden="1">
      <c r="A73" s="28"/>
      <c r="B73" s="28"/>
      <c r="C73" s="44"/>
      <c r="D73" s="44"/>
      <c r="E73" s="45"/>
      <c r="F73" s="92"/>
      <c r="H73" s="47"/>
      <c r="I73" s="60"/>
      <c r="J73" s="28"/>
      <c r="M73" s="101"/>
      <c r="N73" s="103"/>
      <c r="O73" s="56"/>
      <c r="P73" s="51">
        <v>62</v>
      </c>
      <c r="Q73" s="51" t="s">
        <v>224</v>
      </c>
      <c r="R73" s="52"/>
      <c r="S73" s="52"/>
      <c r="T73" s="52"/>
    </row>
    <row r="74" spans="1:20" s="25" customFormat="1" hidden="1">
      <c r="A74" s="28"/>
      <c r="B74" s="28"/>
      <c r="C74" s="44"/>
      <c r="D74" s="44"/>
      <c r="E74" s="45"/>
      <c r="F74" s="92"/>
      <c r="H74" s="47"/>
      <c r="I74" s="60"/>
      <c r="J74" s="28"/>
      <c r="M74" s="101"/>
      <c r="N74" s="103"/>
      <c r="O74" s="56"/>
      <c r="P74" s="51">
        <v>63</v>
      </c>
      <c r="Q74" s="51" t="s">
        <v>224</v>
      </c>
      <c r="R74" s="52"/>
      <c r="S74" s="52"/>
      <c r="T74" s="52"/>
    </row>
    <row r="75" spans="1:20" s="25" customFormat="1" hidden="1">
      <c r="A75" s="28"/>
      <c r="B75" s="28"/>
      <c r="C75" s="44"/>
      <c r="D75" s="44"/>
      <c r="E75" s="45"/>
      <c r="F75" s="92"/>
      <c r="H75" s="47"/>
      <c r="I75" s="60"/>
      <c r="J75" s="28"/>
      <c r="M75" s="101"/>
      <c r="N75" s="103"/>
      <c r="O75" s="56"/>
      <c r="P75" s="51">
        <v>64</v>
      </c>
      <c r="Q75" s="51" t="s">
        <v>224</v>
      </c>
      <c r="R75" s="52"/>
      <c r="S75" s="52"/>
      <c r="T75" s="52"/>
    </row>
    <row r="76" spans="1:20" s="25" customFormat="1" hidden="1">
      <c r="A76" s="28"/>
      <c r="B76" s="28"/>
      <c r="C76" s="44"/>
      <c r="D76" s="44"/>
      <c r="E76" s="45"/>
      <c r="F76" s="92"/>
      <c r="H76" s="47"/>
      <c r="I76" s="60"/>
      <c r="J76" s="28"/>
      <c r="M76" s="101"/>
      <c r="N76" s="103"/>
      <c r="O76" s="56"/>
      <c r="P76" s="51">
        <v>65</v>
      </c>
      <c r="Q76" s="51" t="s">
        <v>224</v>
      </c>
      <c r="R76" s="52"/>
      <c r="S76" s="52"/>
      <c r="T76" s="52"/>
    </row>
    <row r="77" spans="1:20" s="25" customFormat="1" hidden="1">
      <c r="A77" s="28"/>
      <c r="B77" s="28"/>
      <c r="C77" s="44"/>
      <c r="D77" s="44"/>
      <c r="E77" s="45"/>
      <c r="F77" s="92"/>
      <c r="H77" s="47"/>
      <c r="I77" s="60"/>
      <c r="J77" s="28"/>
      <c r="M77" s="101"/>
      <c r="N77" s="103"/>
      <c r="O77" s="56"/>
      <c r="P77" s="51">
        <v>66</v>
      </c>
      <c r="Q77" s="51" t="s">
        <v>224</v>
      </c>
      <c r="R77" s="52"/>
      <c r="S77" s="52"/>
      <c r="T77" s="52"/>
    </row>
    <row r="78" spans="1:20" s="25" customFormat="1" hidden="1">
      <c r="A78" s="28"/>
      <c r="B78" s="28"/>
      <c r="C78" s="44"/>
      <c r="D78" s="44"/>
      <c r="E78" s="45"/>
      <c r="F78" s="92"/>
      <c r="H78" s="47"/>
      <c r="I78" s="60"/>
      <c r="J78" s="28"/>
      <c r="M78" s="104"/>
      <c r="N78" s="103"/>
      <c r="O78" s="56"/>
      <c r="P78" s="51"/>
      <c r="Q78" s="51"/>
      <c r="R78" s="52"/>
      <c r="S78" s="52"/>
      <c r="T78" s="52"/>
    </row>
    <row r="79" spans="1:20" s="25" customFormat="1" hidden="1">
      <c r="A79" s="28"/>
      <c r="B79" s="28"/>
      <c r="C79" s="44"/>
      <c r="D79" s="44"/>
      <c r="E79" s="45"/>
      <c r="F79" s="92"/>
      <c r="H79" s="47"/>
      <c r="I79" s="60"/>
      <c r="J79" s="28"/>
      <c r="M79" s="104"/>
      <c r="N79" s="103"/>
      <c r="O79" s="56"/>
      <c r="P79" s="51"/>
      <c r="Q79" s="51"/>
      <c r="R79" s="52"/>
      <c r="S79" s="52"/>
      <c r="T79" s="52"/>
    </row>
    <row r="80" spans="1:20" s="25" customFormat="1" hidden="1">
      <c r="A80" s="28"/>
      <c r="B80" s="28"/>
      <c r="C80" s="44"/>
      <c r="D80" s="44"/>
      <c r="E80" s="45"/>
      <c r="F80" s="92"/>
      <c r="H80" s="47"/>
      <c r="I80" s="60"/>
      <c r="J80" s="28"/>
      <c r="M80" s="104"/>
      <c r="N80" s="103"/>
      <c r="O80" s="56"/>
      <c r="P80" s="51"/>
      <c r="Q80" s="51"/>
      <c r="R80" s="52"/>
      <c r="S80" s="52"/>
      <c r="T80" s="52"/>
    </row>
    <row r="81" spans="1:20" s="25" customFormat="1" hidden="1">
      <c r="A81" s="28"/>
      <c r="B81" s="28"/>
      <c r="C81" s="44"/>
      <c r="D81" s="44"/>
      <c r="E81" s="45"/>
      <c r="F81" s="92"/>
      <c r="H81" s="47"/>
      <c r="I81" s="60"/>
      <c r="J81" s="28"/>
      <c r="M81" s="104"/>
      <c r="N81" s="103"/>
      <c r="O81" s="56"/>
      <c r="P81" s="51"/>
      <c r="Q81" s="51"/>
      <c r="R81" s="52"/>
      <c r="S81" s="52"/>
      <c r="T81" s="52"/>
    </row>
    <row r="82" spans="1:20" s="25" customFormat="1" hidden="1">
      <c r="A82" s="28"/>
      <c r="B82" s="28"/>
      <c r="C82" s="44"/>
      <c r="D82" s="44"/>
      <c r="E82" s="45"/>
      <c r="F82" s="92"/>
      <c r="H82" s="47"/>
      <c r="I82" s="60"/>
      <c r="J82" s="28"/>
      <c r="M82" s="104"/>
      <c r="N82" s="103"/>
      <c r="O82" s="56"/>
      <c r="P82" s="51"/>
      <c r="Q82" s="51"/>
      <c r="R82" s="52"/>
      <c r="S82" s="52"/>
      <c r="T82" s="52"/>
    </row>
    <row r="83" spans="1:20" s="25" customFormat="1" hidden="1">
      <c r="A83" s="28"/>
      <c r="B83" s="28"/>
      <c r="C83" s="44"/>
      <c r="D83" s="44"/>
      <c r="E83" s="45"/>
      <c r="F83" s="92"/>
      <c r="H83" s="47"/>
      <c r="I83" s="60"/>
      <c r="J83" s="28"/>
      <c r="M83" s="104"/>
      <c r="N83" s="103"/>
      <c r="O83" s="56"/>
      <c r="P83" s="51"/>
      <c r="Q83" s="51"/>
      <c r="R83" s="52"/>
      <c r="S83" s="52"/>
      <c r="T83" s="52"/>
    </row>
    <row r="84" spans="1:20" s="25" customFormat="1" hidden="1">
      <c r="A84" s="28"/>
      <c r="B84" s="28"/>
      <c r="C84" s="44"/>
      <c r="D84" s="44"/>
      <c r="E84" s="45"/>
      <c r="F84" s="92"/>
      <c r="H84" s="47"/>
      <c r="I84" s="60"/>
      <c r="J84" s="28"/>
      <c r="M84" s="104"/>
      <c r="N84" s="103"/>
      <c r="O84" s="56"/>
      <c r="P84" s="51"/>
      <c r="Q84" s="51"/>
      <c r="R84" s="52"/>
      <c r="S84" s="52"/>
      <c r="T84" s="52"/>
    </row>
    <row r="85" spans="1:20" s="25" customFormat="1" hidden="1">
      <c r="A85" s="28"/>
      <c r="B85" s="28"/>
      <c r="C85" s="44"/>
      <c r="D85" s="44"/>
      <c r="E85" s="45"/>
      <c r="F85" s="92"/>
      <c r="H85" s="47"/>
      <c r="I85" s="60"/>
      <c r="J85" s="28"/>
      <c r="M85" s="104"/>
      <c r="N85" s="103"/>
      <c r="O85" s="56"/>
      <c r="P85" s="51"/>
      <c r="Q85" s="51"/>
      <c r="R85" s="52"/>
      <c r="S85" s="52"/>
      <c r="T85" s="52"/>
    </row>
    <row r="86" spans="1:20" s="25" customFormat="1" hidden="1">
      <c r="A86" s="28"/>
      <c r="B86" s="28"/>
      <c r="C86" s="44"/>
      <c r="D86" s="44"/>
      <c r="E86" s="45"/>
      <c r="F86" s="92"/>
      <c r="H86" s="47"/>
      <c r="I86" s="60"/>
      <c r="J86" s="28"/>
      <c r="M86" s="104"/>
      <c r="N86" s="103"/>
      <c r="O86" s="56"/>
      <c r="P86" s="51"/>
      <c r="Q86" s="51"/>
      <c r="R86" s="52"/>
      <c r="S86" s="52"/>
      <c r="T86" s="52"/>
    </row>
    <row r="87" spans="1:20" s="25" customFormat="1" hidden="1">
      <c r="A87" s="28"/>
      <c r="B87" s="28"/>
      <c r="C87" s="44"/>
      <c r="D87" s="44"/>
      <c r="E87" s="45"/>
      <c r="F87" s="92"/>
      <c r="H87" s="47"/>
      <c r="I87" s="60"/>
      <c r="J87" s="28"/>
      <c r="M87" s="104"/>
      <c r="N87" s="103"/>
      <c r="O87" s="56"/>
      <c r="P87" s="51"/>
      <c r="Q87" s="51"/>
      <c r="R87" s="52"/>
      <c r="S87" s="52"/>
      <c r="T87" s="52"/>
    </row>
    <row r="88" spans="1:20" s="25" customFormat="1" hidden="1">
      <c r="A88" s="28"/>
      <c r="B88" s="28"/>
      <c r="C88" s="44"/>
      <c r="D88" s="44"/>
      <c r="E88" s="45"/>
      <c r="F88" s="92"/>
      <c r="H88" s="47"/>
      <c r="I88" s="60"/>
      <c r="J88" s="28"/>
      <c r="M88" s="104"/>
      <c r="N88" s="103"/>
      <c r="O88" s="56"/>
      <c r="P88" s="51"/>
      <c r="Q88" s="51"/>
      <c r="R88" s="52"/>
      <c r="S88" s="52"/>
      <c r="T88" s="52"/>
    </row>
    <row r="89" spans="1:20" s="25" customFormat="1" hidden="1">
      <c r="A89" s="28"/>
      <c r="B89" s="28"/>
      <c r="C89" s="44"/>
      <c r="D89" s="44"/>
      <c r="E89" s="45"/>
      <c r="F89" s="92"/>
      <c r="H89" s="47"/>
      <c r="I89" s="60"/>
      <c r="J89" s="28"/>
      <c r="M89" s="104"/>
      <c r="N89" s="103"/>
      <c r="O89" s="56"/>
      <c r="P89" s="51"/>
      <c r="Q89" s="51"/>
      <c r="R89" s="52"/>
      <c r="S89" s="52"/>
      <c r="T89" s="52"/>
    </row>
    <row r="90" spans="1:20" s="25" customFormat="1" hidden="1">
      <c r="A90" s="28"/>
      <c r="B90" s="28"/>
      <c r="C90" s="44"/>
      <c r="D90" s="44"/>
      <c r="E90" s="45"/>
      <c r="F90" s="92"/>
      <c r="H90" s="47"/>
      <c r="I90" s="60"/>
      <c r="J90" s="28"/>
      <c r="M90" s="104"/>
      <c r="N90" s="103"/>
      <c r="O90" s="56"/>
      <c r="P90" s="51"/>
      <c r="Q90" s="51"/>
      <c r="R90" s="52"/>
      <c r="S90" s="52"/>
      <c r="T90" s="52"/>
    </row>
    <row r="91" spans="1:20" s="25" customFormat="1" hidden="1">
      <c r="A91" s="28"/>
      <c r="B91" s="28"/>
      <c r="C91" s="44"/>
      <c r="D91" s="44"/>
      <c r="E91" s="45"/>
      <c r="F91" s="92"/>
      <c r="H91" s="47"/>
      <c r="I91" s="60"/>
      <c r="J91" s="28"/>
      <c r="M91" s="104"/>
      <c r="N91" s="103"/>
      <c r="O91" s="56"/>
      <c r="P91" s="51"/>
      <c r="Q91" s="51"/>
      <c r="R91" s="52"/>
      <c r="S91" s="52"/>
      <c r="T91" s="52"/>
    </row>
    <row r="92" spans="1:20" s="25" customFormat="1" hidden="1">
      <c r="A92" s="28"/>
      <c r="B92" s="28"/>
      <c r="C92" s="44"/>
      <c r="D92" s="44"/>
      <c r="E92" s="45"/>
      <c r="F92" s="92"/>
      <c r="H92" s="47"/>
      <c r="I92" s="60"/>
      <c r="J92" s="28"/>
      <c r="M92" s="104"/>
      <c r="N92" s="103"/>
      <c r="O92" s="56"/>
      <c r="P92" s="51"/>
      <c r="Q92" s="51"/>
      <c r="R92" s="52"/>
      <c r="S92" s="52"/>
      <c r="T92" s="52"/>
    </row>
    <row r="93" spans="1:20" s="25" customFormat="1" hidden="1">
      <c r="A93" s="28"/>
      <c r="B93" s="28"/>
      <c r="C93" s="44"/>
      <c r="D93" s="44"/>
      <c r="E93" s="45"/>
      <c r="F93" s="92"/>
      <c r="H93" s="47"/>
      <c r="I93" s="60"/>
      <c r="J93" s="28"/>
      <c r="M93" s="104"/>
      <c r="N93" s="103"/>
      <c r="O93" s="56"/>
      <c r="P93" s="51"/>
      <c r="Q93" s="51"/>
      <c r="R93" s="52"/>
      <c r="S93" s="52"/>
      <c r="T93" s="52"/>
    </row>
    <row r="94" spans="1:20" s="25" customFormat="1" hidden="1">
      <c r="A94" s="28"/>
      <c r="B94" s="28"/>
      <c r="C94" s="44"/>
      <c r="D94" s="44"/>
      <c r="E94" s="45"/>
      <c r="F94" s="92"/>
      <c r="H94" s="47"/>
      <c r="I94" s="60"/>
      <c r="J94" s="28"/>
      <c r="M94" s="104"/>
      <c r="N94" s="103"/>
      <c r="O94" s="56"/>
      <c r="P94" s="51"/>
      <c r="Q94" s="51"/>
      <c r="R94" s="52"/>
      <c r="S94" s="52"/>
      <c r="T94" s="52"/>
    </row>
    <row r="95" spans="1:20" s="25" customFormat="1" hidden="1">
      <c r="A95" s="28"/>
      <c r="B95" s="28"/>
      <c r="C95" s="44"/>
      <c r="D95" s="44"/>
      <c r="E95" s="45"/>
      <c r="F95" s="92"/>
      <c r="H95" s="47"/>
      <c r="I95" s="60"/>
      <c r="J95" s="28"/>
      <c r="M95" s="104"/>
      <c r="N95" s="103"/>
      <c r="O95" s="56"/>
      <c r="P95" s="51"/>
      <c r="Q95" s="51"/>
      <c r="R95" s="52"/>
      <c r="S95" s="52"/>
      <c r="T95" s="52"/>
    </row>
    <row r="96" spans="1:20" s="25" customFormat="1" hidden="1">
      <c r="A96" s="28"/>
      <c r="B96" s="28"/>
      <c r="C96" s="44"/>
      <c r="D96" s="44"/>
      <c r="E96" s="45"/>
      <c r="F96" s="92"/>
      <c r="H96" s="47"/>
      <c r="I96" s="60"/>
      <c r="J96" s="28"/>
      <c r="M96" s="104"/>
      <c r="N96" s="103"/>
      <c r="O96" s="56"/>
      <c r="P96" s="51"/>
      <c r="Q96" s="51"/>
      <c r="R96" s="52"/>
      <c r="S96" s="52"/>
      <c r="T96" s="52"/>
    </row>
    <row r="97" spans="1:20" s="25" customFormat="1" hidden="1">
      <c r="A97" s="28"/>
      <c r="B97" s="28"/>
      <c r="C97" s="44"/>
      <c r="D97" s="44"/>
      <c r="E97" s="45"/>
      <c r="F97" s="92"/>
      <c r="H97" s="47"/>
      <c r="I97" s="60"/>
      <c r="J97" s="28"/>
      <c r="M97" s="104"/>
      <c r="N97" s="103"/>
      <c r="O97" s="56"/>
      <c r="P97" s="51"/>
      <c r="Q97" s="51"/>
      <c r="R97" s="52"/>
      <c r="S97" s="52"/>
      <c r="T97" s="52"/>
    </row>
    <row r="98" spans="1:20" s="25" customFormat="1" hidden="1">
      <c r="A98" s="28"/>
      <c r="B98" s="28"/>
      <c r="C98" s="44"/>
      <c r="D98" s="44"/>
      <c r="E98" s="45"/>
      <c r="F98" s="92"/>
      <c r="H98" s="47"/>
      <c r="I98" s="60"/>
      <c r="J98" s="28"/>
      <c r="M98" s="104"/>
      <c r="N98" s="103"/>
      <c r="O98" s="56"/>
      <c r="P98" s="51"/>
      <c r="Q98" s="51"/>
      <c r="R98" s="52"/>
      <c r="S98" s="52"/>
      <c r="T98" s="52"/>
    </row>
    <row r="99" spans="1:20" s="25" customFormat="1" hidden="1">
      <c r="A99" s="28"/>
      <c r="B99" s="28"/>
      <c r="C99" s="44"/>
      <c r="D99" s="44"/>
      <c r="E99" s="45"/>
      <c r="F99" s="92"/>
      <c r="H99" s="47"/>
      <c r="I99" s="60"/>
      <c r="J99" s="28"/>
      <c r="M99" s="104"/>
      <c r="N99" s="103"/>
      <c r="O99" s="56"/>
      <c r="P99" s="51"/>
      <c r="Q99" s="51"/>
      <c r="R99" s="52"/>
      <c r="S99" s="52"/>
      <c r="T99" s="52"/>
    </row>
    <row r="100" spans="1:20" s="25" customFormat="1" hidden="1">
      <c r="A100" s="28"/>
      <c r="B100" s="28"/>
      <c r="C100" s="44"/>
      <c r="D100" s="44"/>
      <c r="E100" s="45"/>
      <c r="F100" s="92"/>
      <c r="H100" s="47"/>
      <c r="I100" s="60"/>
      <c r="J100" s="28"/>
      <c r="M100" s="104"/>
      <c r="N100" s="103"/>
      <c r="O100" s="56"/>
      <c r="P100" s="51"/>
      <c r="Q100" s="51"/>
      <c r="R100" s="52"/>
      <c r="S100" s="52"/>
      <c r="T100" s="52"/>
    </row>
    <row r="101" spans="1:20" s="25" customFormat="1" hidden="1">
      <c r="A101" s="28"/>
      <c r="B101" s="28"/>
      <c r="C101" s="44"/>
      <c r="D101" s="44"/>
      <c r="E101" s="45"/>
      <c r="F101" s="92"/>
      <c r="H101" s="47"/>
      <c r="I101" s="60"/>
      <c r="J101" s="28"/>
      <c r="M101" s="104"/>
      <c r="N101" s="103"/>
      <c r="O101" s="56"/>
      <c r="P101" s="51"/>
      <c r="Q101" s="51"/>
      <c r="R101" s="52"/>
      <c r="S101" s="52"/>
      <c r="T101" s="52"/>
    </row>
    <row r="102" spans="1:20" s="25" customFormat="1" hidden="1">
      <c r="A102" s="28"/>
      <c r="B102" s="28"/>
      <c r="C102" s="44"/>
      <c r="D102" s="44"/>
      <c r="E102" s="45"/>
      <c r="F102" s="92"/>
      <c r="H102" s="47"/>
      <c r="I102" s="60"/>
      <c r="J102" s="28"/>
      <c r="M102" s="104"/>
      <c r="N102" s="103"/>
      <c r="O102" s="56"/>
      <c r="P102" s="51"/>
      <c r="Q102" s="51"/>
      <c r="R102" s="52"/>
      <c r="S102" s="52"/>
      <c r="T102" s="52"/>
    </row>
    <row r="103" spans="1:20" s="25" customFormat="1" hidden="1">
      <c r="A103" s="28"/>
      <c r="B103" s="28"/>
      <c r="C103" s="44"/>
      <c r="D103" s="44"/>
      <c r="E103" s="45"/>
      <c r="F103" s="92"/>
      <c r="H103" s="47"/>
      <c r="I103" s="60"/>
      <c r="J103" s="28"/>
      <c r="M103" s="104"/>
      <c r="N103" s="103"/>
      <c r="O103" s="56"/>
      <c r="P103" s="51"/>
      <c r="Q103" s="51"/>
      <c r="R103" s="52"/>
      <c r="S103" s="52"/>
      <c r="T103" s="52"/>
    </row>
    <row r="104" spans="1:20" s="25" customFormat="1" hidden="1">
      <c r="A104" s="28"/>
      <c r="B104" s="28"/>
      <c r="C104" s="44"/>
      <c r="D104" s="44"/>
      <c r="E104" s="45"/>
      <c r="F104" s="92"/>
      <c r="H104" s="47"/>
      <c r="I104" s="60"/>
      <c r="J104" s="28"/>
      <c r="M104" s="104"/>
      <c r="N104" s="103"/>
      <c r="O104" s="56"/>
      <c r="P104" s="51"/>
      <c r="Q104" s="51"/>
      <c r="R104" s="52"/>
      <c r="S104" s="52"/>
      <c r="T104" s="52"/>
    </row>
    <row r="105" spans="1:20" s="25" customFormat="1" hidden="1">
      <c r="A105" s="28"/>
      <c r="B105" s="28"/>
      <c r="C105" s="44"/>
      <c r="D105" s="44"/>
      <c r="E105" s="45"/>
      <c r="F105" s="92"/>
      <c r="H105" s="47"/>
      <c r="I105" s="60"/>
      <c r="J105" s="28"/>
      <c r="M105" s="104"/>
      <c r="N105" s="103"/>
      <c r="O105" s="56"/>
      <c r="P105" s="51"/>
      <c r="Q105" s="51"/>
      <c r="R105" s="52"/>
      <c r="S105" s="52"/>
      <c r="T105" s="52"/>
    </row>
    <row r="106" spans="1:20" s="25" customFormat="1" hidden="1">
      <c r="A106" s="28"/>
      <c r="B106" s="28"/>
      <c r="C106" s="44"/>
      <c r="D106" s="44"/>
      <c r="E106" s="45"/>
      <c r="F106" s="92"/>
      <c r="H106" s="47"/>
      <c r="I106" s="60"/>
      <c r="J106" s="28"/>
      <c r="M106" s="104"/>
      <c r="N106" s="103"/>
      <c r="O106" s="56"/>
      <c r="P106" s="51"/>
      <c r="Q106" s="51"/>
      <c r="R106" s="52"/>
      <c r="S106" s="52"/>
      <c r="T106" s="52"/>
    </row>
    <row r="107" spans="1:20" s="25" customFormat="1" hidden="1">
      <c r="A107" s="28"/>
      <c r="B107" s="28"/>
      <c r="C107" s="44"/>
      <c r="D107" s="44"/>
      <c r="E107" s="45"/>
      <c r="F107" s="92"/>
      <c r="H107" s="47"/>
      <c r="I107" s="60"/>
      <c r="J107" s="28"/>
      <c r="M107" s="104"/>
      <c r="N107" s="56"/>
      <c r="O107" s="56"/>
      <c r="P107" s="51"/>
      <c r="Q107" s="51"/>
      <c r="R107" s="52"/>
      <c r="S107" s="52"/>
      <c r="T107" s="52"/>
    </row>
    <row r="108" spans="1:20" s="25" customFormat="1" hidden="1">
      <c r="A108" s="28"/>
      <c r="B108" s="28"/>
      <c r="C108" s="44"/>
      <c r="D108" s="44"/>
      <c r="E108" s="45"/>
      <c r="F108" s="92"/>
      <c r="H108" s="47"/>
      <c r="I108" s="60"/>
      <c r="J108" s="28"/>
      <c r="M108" s="105"/>
      <c r="N108" s="55"/>
      <c r="O108" s="55"/>
      <c r="P108" s="51"/>
      <c r="Q108" s="51"/>
      <c r="R108" s="52"/>
      <c r="S108" s="52"/>
      <c r="T108" s="52"/>
    </row>
    <row r="109" spans="1:20" s="25" customFormat="1" hidden="1">
      <c r="A109" s="28"/>
      <c r="B109" s="28"/>
      <c r="C109" s="44"/>
      <c r="D109" s="44"/>
      <c r="E109" s="45"/>
      <c r="F109" s="92"/>
      <c r="H109" s="47"/>
      <c r="I109" s="60"/>
      <c r="J109" s="28"/>
      <c r="M109" s="105"/>
      <c r="N109" s="55"/>
      <c r="O109" s="55"/>
      <c r="P109" s="51"/>
      <c r="Q109" s="51"/>
      <c r="R109" s="52"/>
      <c r="S109" s="52"/>
      <c r="T109" s="52"/>
    </row>
    <row r="110" spans="1:20" s="25" customFormat="1" hidden="1">
      <c r="A110" s="28"/>
      <c r="B110" s="28"/>
      <c r="C110" s="44"/>
      <c r="D110" s="44"/>
      <c r="E110" s="45"/>
      <c r="F110" s="92"/>
      <c r="H110" s="47"/>
      <c r="I110" s="60"/>
      <c r="J110" s="28"/>
      <c r="M110" s="105"/>
      <c r="N110" s="55"/>
      <c r="O110" s="55"/>
      <c r="P110" s="51"/>
      <c r="Q110" s="51"/>
      <c r="R110" s="52"/>
      <c r="S110" s="52"/>
      <c r="T110" s="52"/>
    </row>
    <row r="111" spans="1:20" s="25" customFormat="1" hidden="1">
      <c r="A111" s="28"/>
      <c r="B111" s="28"/>
      <c r="C111" s="44"/>
      <c r="D111" s="44"/>
      <c r="E111" s="45"/>
      <c r="F111" s="92"/>
      <c r="H111" s="47"/>
      <c r="I111" s="60"/>
      <c r="J111" s="28"/>
      <c r="M111" s="105"/>
      <c r="N111" s="55"/>
      <c r="O111" s="55"/>
      <c r="P111" s="51"/>
      <c r="Q111" s="51"/>
      <c r="R111" s="52"/>
      <c r="S111" s="52"/>
      <c r="T111" s="52"/>
    </row>
    <row r="112" spans="1:20" s="25" customFormat="1" hidden="1">
      <c r="A112" s="28"/>
      <c r="B112" s="28"/>
      <c r="C112" s="44"/>
      <c r="D112" s="44"/>
      <c r="E112" s="45"/>
      <c r="F112" s="92"/>
      <c r="H112" s="47"/>
      <c r="I112" s="60"/>
      <c r="J112" s="28"/>
      <c r="M112" s="105"/>
      <c r="N112" s="55"/>
      <c r="O112" s="55"/>
      <c r="P112" s="51"/>
      <c r="Q112" s="51"/>
      <c r="R112" s="52"/>
      <c r="S112" s="52"/>
      <c r="T112" s="52"/>
    </row>
    <row r="113" spans="1:20" s="25" customFormat="1" hidden="1">
      <c r="A113" s="28"/>
      <c r="B113" s="28"/>
      <c r="C113" s="44"/>
      <c r="D113" s="44"/>
      <c r="E113" s="45"/>
      <c r="F113" s="92"/>
      <c r="H113" s="47"/>
      <c r="I113" s="60"/>
      <c r="J113" s="28"/>
      <c r="M113" s="105"/>
      <c r="N113" s="55"/>
      <c r="O113" s="55"/>
      <c r="P113" s="51"/>
      <c r="Q113" s="51"/>
      <c r="R113" s="52"/>
      <c r="S113" s="52"/>
      <c r="T113" s="52"/>
    </row>
    <row r="114" spans="1:20" s="25" customFormat="1" hidden="1">
      <c r="A114" s="28"/>
      <c r="B114" s="28"/>
      <c r="C114" s="44"/>
      <c r="D114" s="44"/>
      <c r="E114" s="45"/>
      <c r="F114" s="92"/>
      <c r="H114" s="47"/>
      <c r="I114" s="60"/>
      <c r="J114" s="28"/>
      <c r="M114" s="105"/>
      <c r="N114" s="55"/>
      <c r="O114" s="55"/>
      <c r="P114" s="51"/>
      <c r="Q114" s="51"/>
      <c r="R114" s="52"/>
      <c r="S114" s="52"/>
      <c r="T114" s="52"/>
    </row>
    <row r="115" spans="1:20" s="25" customFormat="1" hidden="1">
      <c r="A115" s="28"/>
      <c r="B115" s="28"/>
      <c r="C115" s="44"/>
      <c r="D115" s="44"/>
      <c r="E115" s="45"/>
      <c r="F115" s="92"/>
      <c r="H115" s="47"/>
      <c r="I115" s="60"/>
      <c r="J115" s="28"/>
      <c r="M115" s="105"/>
      <c r="N115" s="55"/>
      <c r="O115" s="55"/>
      <c r="P115" s="51"/>
      <c r="Q115" s="51"/>
      <c r="R115" s="52"/>
      <c r="S115" s="52"/>
      <c r="T115" s="52"/>
    </row>
    <row r="116" spans="1:20" s="25" customFormat="1" hidden="1">
      <c r="A116" s="28"/>
      <c r="B116" s="28"/>
      <c r="C116" s="44"/>
      <c r="D116" s="44"/>
      <c r="E116" s="45"/>
      <c r="F116" s="92"/>
      <c r="H116" s="47"/>
      <c r="I116" s="60"/>
      <c r="J116" s="28"/>
      <c r="M116" s="105"/>
      <c r="N116" s="55"/>
      <c r="O116" s="55"/>
      <c r="P116" s="51"/>
      <c r="Q116" s="51"/>
      <c r="R116" s="52"/>
      <c r="S116" s="52"/>
      <c r="T116" s="52"/>
    </row>
    <row r="117" spans="1:20" s="25" customFormat="1" hidden="1">
      <c r="A117" s="28"/>
      <c r="B117" s="28"/>
      <c r="C117" s="44"/>
      <c r="D117" s="44"/>
      <c r="E117" s="45"/>
      <c r="F117" s="92"/>
      <c r="H117" s="47"/>
      <c r="I117" s="60"/>
      <c r="J117" s="28"/>
      <c r="M117" s="105"/>
      <c r="N117" s="55"/>
      <c r="O117" s="55"/>
      <c r="P117" s="51"/>
      <c r="Q117" s="51"/>
      <c r="R117" s="52"/>
      <c r="S117" s="52"/>
      <c r="T117" s="52"/>
    </row>
    <row r="118" spans="1:20" s="25" customFormat="1" hidden="1">
      <c r="A118" s="28"/>
      <c r="B118" s="28"/>
      <c r="C118" s="44"/>
      <c r="D118" s="44"/>
      <c r="E118" s="45"/>
      <c r="F118" s="92"/>
      <c r="H118" s="47"/>
      <c r="I118" s="60"/>
      <c r="J118" s="28"/>
      <c r="M118" s="105"/>
      <c r="N118" s="55"/>
      <c r="O118" s="55"/>
      <c r="P118" s="51"/>
      <c r="Q118" s="51"/>
      <c r="R118" s="52"/>
      <c r="S118" s="52"/>
      <c r="T118" s="52"/>
    </row>
    <row r="119" spans="1:20" s="25" customFormat="1" hidden="1">
      <c r="A119" s="28"/>
      <c r="B119" s="28"/>
      <c r="C119" s="44"/>
      <c r="D119" s="44"/>
      <c r="E119" s="45"/>
      <c r="F119" s="92"/>
      <c r="H119" s="47"/>
      <c r="I119" s="60"/>
      <c r="J119" s="28"/>
      <c r="M119" s="105"/>
      <c r="N119" s="55"/>
      <c r="O119" s="55"/>
      <c r="P119" s="51"/>
      <c r="Q119" s="51"/>
      <c r="R119" s="52"/>
      <c r="S119" s="52"/>
      <c r="T119" s="52"/>
    </row>
    <row r="120" spans="1:20" s="25" customFormat="1" hidden="1">
      <c r="A120" s="28"/>
      <c r="B120" s="28"/>
      <c r="C120" s="44"/>
      <c r="D120" s="44"/>
      <c r="E120" s="45"/>
      <c r="F120" s="92"/>
      <c r="H120" s="47"/>
      <c r="I120" s="60"/>
      <c r="J120" s="28"/>
      <c r="M120" s="105"/>
      <c r="N120" s="55"/>
      <c r="O120" s="55"/>
      <c r="P120" s="51"/>
      <c r="Q120" s="51"/>
      <c r="R120" s="52"/>
      <c r="S120" s="52"/>
      <c r="T120" s="52"/>
    </row>
    <row r="121" spans="1:20" s="25" customFormat="1" hidden="1">
      <c r="A121" s="28"/>
      <c r="B121" s="28"/>
      <c r="C121" s="44"/>
      <c r="D121" s="44"/>
      <c r="E121" s="45"/>
      <c r="F121" s="92"/>
      <c r="H121" s="47"/>
      <c r="I121" s="60"/>
      <c r="J121" s="28"/>
      <c r="M121" s="105"/>
      <c r="N121" s="55"/>
      <c r="O121" s="55"/>
      <c r="P121" s="51"/>
      <c r="Q121" s="51"/>
      <c r="R121" s="52"/>
      <c r="S121" s="52"/>
      <c r="T121" s="52"/>
    </row>
    <row r="122" spans="1:20" s="25" customFormat="1" hidden="1">
      <c r="A122" s="28"/>
      <c r="B122" s="28"/>
      <c r="C122" s="44"/>
      <c r="D122" s="44"/>
      <c r="E122" s="45"/>
      <c r="F122" s="92"/>
      <c r="H122" s="47"/>
      <c r="I122" s="60"/>
      <c r="J122" s="28"/>
      <c r="M122" s="105"/>
      <c r="N122" s="55"/>
      <c r="O122" s="55"/>
      <c r="P122" s="51"/>
      <c r="Q122" s="51"/>
      <c r="R122" s="52"/>
      <c r="S122" s="52"/>
      <c r="T122" s="52"/>
    </row>
    <row r="123" spans="1:20" s="25" customFormat="1" hidden="1">
      <c r="A123" s="28"/>
      <c r="B123" s="28"/>
      <c r="C123" s="44"/>
      <c r="D123" s="44"/>
      <c r="E123" s="45"/>
      <c r="F123" s="92"/>
      <c r="H123" s="47"/>
      <c r="I123" s="60"/>
      <c r="J123" s="28"/>
      <c r="M123" s="105"/>
      <c r="N123" s="55"/>
      <c r="O123" s="55"/>
      <c r="P123" s="51"/>
      <c r="Q123" s="51"/>
      <c r="R123" s="52"/>
      <c r="S123" s="52"/>
      <c r="T123" s="52"/>
    </row>
    <row r="124" spans="1:20" s="25" customFormat="1" hidden="1">
      <c r="A124" s="28"/>
      <c r="B124" s="28"/>
      <c r="C124" s="44"/>
      <c r="D124" s="44"/>
      <c r="E124" s="45"/>
      <c r="F124" s="92"/>
      <c r="H124" s="47"/>
      <c r="I124" s="60"/>
      <c r="J124" s="28"/>
      <c r="M124" s="105"/>
      <c r="N124" s="55"/>
      <c r="O124" s="55"/>
      <c r="P124" s="51"/>
      <c r="Q124" s="51"/>
      <c r="R124" s="52"/>
      <c r="S124" s="52"/>
      <c r="T124" s="52"/>
    </row>
    <row r="125" spans="1:20" s="25" customFormat="1" hidden="1">
      <c r="A125" s="28"/>
      <c r="B125" s="28"/>
      <c r="C125" s="44"/>
      <c r="D125" s="44"/>
      <c r="E125" s="45"/>
      <c r="F125" s="92"/>
      <c r="H125" s="47"/>
      <c r="I125" s="60"/>
      <c r="J125" s="28"/>
      <c r="M125" s="105"/>
      <c r="N125" s="55"/>
      <c r="O125" s="55"/>
      <c r="P125" s="51"/>
      <c r="Q125" s="51"/>
      <c r="R125" s="52"/>
      <c r="S125" s="52"/>
      <c r="T125" s="52"/>
    </row>
    <row r="126" spans="1:20" s="25" customFormat="1" hidden="1">
      <c r="A126" s="28"/>
      <c r="B126" s="28"/>
      <c r="C126" s="44"/>
      <c r="D126" s="44"/>
      <c r="E126" s="45"/>
      <c r="F126" s="92"/>
      <c r="H126" s="47"/>
      <c r="I126" s="60"/>
      <c r="J126" s="28"/>
      <c r="M126" s="105"/>
      <c r="N126" s="55"/>
      <c r="O126" s="55"/>
      <c r="P126" s="51"/>
      <c r="Q126" s="51"/>
      <c r="R126" s="52"/>
      <c r="S126" s="52"/>
      <c r="T126" s="52"/>
    </row>
    <row r="127" spans="1:20" s="25" customFormat="1" hidden="1">
      <c r="A127" s="28"/>
      <c r="B127" s="28"/>
      <c r="C127" s="44"/>
      <c r="D127" s="44"/>
      <c r="E127" s="45"/>
      <c r="F127" s="92"/>
      <c r="H127" s="47"/>
      <c r="I127" s="60"/>
      <c r="J127" s="28"/>
      <c r="M127" s="105"/>
      <c r="N127" s="55"/>
      <c r="O127" s="55"/>
      <c r="P127" s="51"/>
      <c r="Q127" s="51"/>
      <c r="R127" s="52"/>
      <c r="S127" s="52"/>
      <c r="T127" s="52"/>
    </row>
    <row r="128" spans="1:20" s="25" customFormat="1" hidden="1">
      <c r="A128" s="28"/>
      <c r="B128" s="28"/>
      <c r="C128" s="44"/>
      <c r="D128" s="44"/>
      <c r="E128" s="45"/>
      <c r="F128" s="92"/>
      <c r="H128" s="47"/>
      <c r="I128" s="60"/>
      <c r="J128" s="28"/>
      <c r="M128" s="105"/>
      <c r="N128" s="55"/>
      <c r="O128" s="55"/>
      <c r="P128" s="51"/>
      <c r="Q128" s="51"/>
      <c r="R128" s="52"/>
      <c r="S128" s="52"/>
      <c r="T128" s="52"/>
    </row>
    <row r="129" spans="1:20" s="25" customFormat="1" hidden="1">
      <c r="A129" s="28"/>
      <c r="B129" s="28"/>
      <c r="C129" s="44"/>
      <c r="D129" s="44"/>
      <c r="E129" s="45"/>
      <c r="F129" s="92"/>
      <c r="H129" s="47"/>
      <c r="I129" s="60"/>
      <c r="J129" s="28"/>
      <c r="M129" s="105"/>
      <c r="N129" s="55"/>
      <c r="O129" s="55"/>
      <c r="P129" s="51"/>
      <c r="Q129" s="51"/>
      <c r="R129" s="52"/>
      <c r="S129" s="52"/>
      <c r="T129" s="52"/>
    </row>
    <row r="130" spans="1:20" s="25" customFormat="1" hidden="1">
      <c r="A130" s="28"/>
      <c r="B130" s="28"/>
      <c r="C130" s="44"/>
      <c r="D130" s="44"/>
      <c r="E130" s="45"/>
      <c r="F130" s="92"/>
      <c r="H130" s="47"/>
      <c r="I130" s="60"/>
      <c r="J130" s="28"/>
      <c r="M130" s="105"/>
      <c r="N130" s="55"/>
      <c r="O130" s="55"/>
      <c r="P130" s="51"/>
      <c r="Q130" s="51"/>
      <c r="R130" s="52"/>
      <c r="S130" s="52"/>
      <c r="T130" s="52"/>
    </row>
    <row r="131" spans="1:20" s="25" customFormat="1" hidden="1">
      <c r="A131" s="28"/>
      <c r="B131" s="28"/>
      <c r="C131" s="44"/>
      <c r="D131" s="44"/>
      <c r="E131" s="45"/>
      <c r="F131" s="92"/>
      <c r="H131" s="47"/>
      <c r="I131" s="60"/>
      <c r="J131" s="28"/>
      <c r="M131" s="105"/>
      <c r="N131" s="55"/>
      <c r="O131" s="55"/>
      <c r="P131" s="51"/>
      <c r="Q131" s="51"/>
      <c r="R131" s="52"/>
      <c r="S131" s="52"/>
      <c r="T131" s="52"/>
    </row>
    <row r="132" spans="1:20" s="25" customFormat="1" hidden="1">
      <c r="A132" s="28"/>
      <c r="B132" s="28"/>
      <c r="C132" s="44"/>
      <c r="D132" s="44"/>
      <c r="E132" s="45"/>
      <c r="F132" s="92"/>
      <c r="H132" s="47"/>
      <c r="I132" s="60"/>
      <c r="J132" s="28"/>
      <c r="M132" s="105"/>
      <c r="N132" s="55"/>
      <c r="O132" s="55"/>
      <c r="P132" s="51"/>
      <c r="Q132" s="51"/>
      <c r="R132" s="52"/>
      <c r="S132" s="52"/>
      <c r="T132" s="52"/>
    </row>
    <row r="133" spans="1:20" s="25" customFormat="1" hidden="1">
      <c r="A133" s="28"/>
      <c r="B133" s="28"/>
      <c r="C133" s="44"/>
      <c r="D133" s="44"/>
      <c r="E133" s="45"/>
      <c r="F133" s="92"/>
      <c r="H133" s="47"/>
      <c r="I133" s="60"/>
      <c r="J133" s="28"/>
      <c r="M133" s="105"/>
      <c r="N133" s="55"/>
      <c r="O133" s="55"/>
      <c r="P133" s="51"/>
      <c r="Q133" s="51"/>
      <c r="R133" s="52"/>
      <c r="S133" s="52"/>
      <c r="T133" s="52"/>
    </row>
    <row r="134" spans="1:20" s="25" customFormat="1" hidden="1">
      <c r="A134" s="28"/>
      <c r="B134" s="28"/>
      <c r="C134" s="44"/>
      <c r="D134" s="44"/>
      <c r="E134" s="45"/>
      <c r="F134" s="92"/>
      <c r="H134" s="47"/>
      <c r="I134" s="60"/>
      <c r="J134" s="28"/>
      <c r="M134" s="105"/>
      <c r="N134" s="55"/>
      <c r="O134" s="55"/>
      <c r="P134" s="51"/>
      <c r="Q134" s="51"/>
      <c r="R134" s="52"/>
      <c r="S134" s="52"/>
      <c r="T134" s="52"/>
    </row>
    <row r="135" spans="1:20" s="25" customFormat="1" hidden="1">
      <c r="A135" s="28"/>
      <c r="B135" s="28"/>
      <c r="C135" s="44"/>
      <c r="D135" s="44"/>
      <c r="E135" s="45"/>
      <c r="F135" s="92"/>
      <c r="H135" s="47"/>
      <c r="I135" s="60"/>
      <c r="J135" s="28"/>
      <c r="M135" s="105"/>
      <c r="N135" s="55"/>
      <c r="O135" s="55"/>
      <c r="P135" s="51"/>
      <c r="Q135" s="51"/>
      <c r="R135" s="52"/>
      <c r="S135" s="52"/>
      <c r="T135" s="52"/>
    </row>
    <row r="136" spans="1:20" s="25" customFormat="1" hidden="1">
      <c r="A136" s="28"/>
      <c r="B136" s="28"/>
      <c r="C136" s="44"/>
      <c r="D136" s="44"/>
      <c r="E136" s="45"/>
      <c r="F136" s="92"/>
      <c r="H136" s="47"/>
      <c r="I136" s="60"/>
      <c r="J136" s="28"/>
      <c r="M136" s="105"/>
      <c r="N136" s="55"/>
      <c r="O136" s="55"/>
      <c r="P136" s="51"/>
      <c r="Q136" s="51"/>
      <c r="R136" s="52"/>
      <c r="S136" s="52"/>
      <c r="T136" s="52"/>
    </row>
    <row r="137" spans="1:20" s="25" customFormat="1" hidden="1">
      <c r="A137" s="28"/>
      <c r="B137" s="28"/>
      <c r="C137" s="44"/>
      <c r="D137" s="44"/>
      <c r="E137" s="45"/>
      <c r="F137" s="92"/>
      <c r="H137" s="47"/>
      <c r="I137" s="60"/>
      <c r="J137" s="28"/>
      <c r="M137" s="105"/>
      <c r="N137" s="55"/>
      <c r="O137" s="55"/>
      <c r="P137" s="51"/>
      <c r="Q137" s="51"/>
      <c r="R137" s="52"/>
      <c r="S137" s="52"/>
      <c r="T137" s="52"/>
    </row>
    <row r="138" spans="1:20" s="25" customFormat="1" hidden="1">
      <c r="A138" s="28"/>
      <c r="B138" s="28"/>
      <c r="C138" s="44"/>
      <c r="D138" s="44"/>
      <c r="E138" s="45"/>
      <c r="F138" s="92"/>
      <c r="H138" s="47"/>
      <c r="I138" s="60"/>
      <c r="J138" s="28"/>
      <c r="M138" s="105"/>
      <c r="N138" s="55"/>
      <c r="O138" s="55"/>
      <c r="P138" s="51"/>
      <c r="Q138" s="51"/>
      <c r="R138" s="52"/>
      <c r="S138" s="52"/>
      <c r="T138" s="52"/>
    </row>
    <row r="139" spans="1:20" s="25" customFormat="1" hidden="1">
      <c r="A139" s="28"/>
      <c r="B139" s="28"/>
      <c r="C139" s="44"/>
      <c r="D139" s="44"/>
      <c r="E139" s="45"/>
      <c r="F139" s="92"/>
      <c r="H139" s="47"/>
      <c r="I139" s="60"/>
      <c r="J139" s="28"/>
      <c r="M139" s="105"/>
      <c r="N139" s="55"/>
      <c r="O139" s="55"/>
      <c r="P139" s="51"/>
      <c r="Q139" s="51"/>
      <c r="R139" s="52"/>
      <c r="S139" s="52"/>
      <c r="T139" s="52"/>
    </row>
    <row r="140" spans="1:20" s="25" customFormat="1" hidden="1">
      <c r="A140" s="28"/>
      <c r="B140" s="28"/>
      <c r="C140" s="44"/>
      <c r="D140" s="44"/>
      <c r="E140" s="45"/>
      <c r="F140" s="92"/>
      <c r="H140" s="47"/>
      <c r="I140" s="60"/>
      <c r="J140" s="28"/>
      <c r="M140" s="105"/>
      <c r="N140" s="55"/>
      <c r="O140" s="55"/>
      <c r="P140" s="51"/>
      <c r="Q140" s="51"/>
      <c r="R140" s="52"/>
      <c r="S140" s="52"/>
      <c r="T140" s="52"/>
    </row>
    <row r="141" spans="1:20" s="25" customFormat="1" hidden="1">
      <c r="A141" s="28"/>
      <c r="B141" s="28"/>
      <c r="C141" s="44"/>
      <c r="D141" s="44"/>
      <c r="E141" s="45"/>
      <c r="F141" s="92"/>
      <c r="H141" s="47"/>
      <c r="I141" s="60"/>
      <c r="J141" s="28"/>
      <c r="M141" s="105"/>
      <c r="N141" s="55"/>
      <c r="O141" s="55"/>
      <c r="P141" s="51"/>
      <c r="Q141" s="51"/>
      <c r="R141" s="52"/>
      <c r="S141" s="52"/>
      <c r="T141" s="52"/>
    </row>
    <row r="142" spans="1:20" s="25" customFormat="1" hidden="1">
      <c r="A142" s="28"/>
      <c r="B142" s="28"/>
      <c r="C142" s="44"/>
      <c r="D142" s="44"/>
      <c r="E142" s="45"/>
      <c r="F142" s="92"/>
      <c r="H142" s="47"/>
      <c r="I142" s="60"/>
      <c r="J142" s="28"/>
      <c r="M142" s="105"/>
      <c r="N142" s="55"/>
      <c r="O142" s="55"/>
      <c r="P142" s="51"/>
      <c r="Q142" s="51"/>
      <c r="R142" s="52"/>
      <c r="S142" s="52"/>
      <c r="T142" s="52"/>
    </row>
    <row r="143" spans="1:20" s="25" customFormat="1" hidden="1">
      <c r="A143" s="28"/>
      <c r="B143" s="28"/>
      <c r="C143" s="44"/>
      <c r="D143" s="44"/>
      <c r="E143" s="45"/>
      <c r="F143" s="92"/>
      <c r="H143" s="47"/>
      <c r="I143" s="60"/>
      <c r="J143" s="28"/>
      <c r="M143" s="105"/>
      <c r="N143" s="55"/>
      <c r="O143" s="55"/>
      <c r="P143" s="51"/>
      <c r="Q143" s="51"/>
      <c r="R143" s="52"/>
      <c r="S143" s="52"/>
      <c r="T143" s="52"/>
    </row>
    <row r="144" spans="1:20" s="25" customFormat="1" hidden="1">
      <c r="A144" s="28"/>
      <c r="B144" s="28"/>
      <c r="C144" s="44"/>
      <c r="D144" s="44"/>
      <c r="E144" s="45"/>
      <c r="F144" s="92"/>
      <c r="H144" s="47"/>
      <c r="I144" s="60"/>
      <c r="J144" s="28"/>
      <c r="M144" s="105"/>
      <c r="N144" s="55"/>
      <c r="O144" s="55"/>
      <c r="P144" s="51"/>
      <c r="Q144" s="51"/>
      <c r="R144" s="52"/>
      <c r="S144" s="52"/>
      <c r="T144" s="52"/>
    </row>
    <row r="145" spans="1:20" s="24" customFormat="1" ht="16.5" customHeight="1">
      <c r="A145" s="73">
        <v>1</v>
      </c>
      <c r="B145" s="74"/>
      <c r="C145" s="106" t="e">
        <f>VLOOKUP(B145,$M$16:$N$144,2,FALSE)</f>
        <v>#N/A</v>
      </c>
      <c r="D145" s="75" t="e">
        <f>VLOOKUP(B145,$M$16:$O$144,3,FALSE)</f>
        <v>#N/A</v>
      </c>
      <c r="E145" s="76"/>
      <c r="F145" s="77"/>
      <c r="G145" s="130">
        <f>DATEDIF(F145,H145,"Y")</f>
        <v>126</v>
      </c>
      <c r="H145" s="132">
        <v>46387</v>
      </c>
      <c r="I145" s="81" t="e">
        <f>VLOOKUP(G145,$P$16:$Q$144,2,FALSE)</f>
        <v>#N/A</v>
      </c>
      <c r="J145" s="82"/>
      <c r="K145" s="171">
        <f>E7</f>
        <v>0</v>
      </c>
      <c r="L145" s="171"/>
      <c r="M145" s="51"/>
      <c r="N145" s="55"/>
      <c r="O145" s="55"/>
      <c r="P145" s="56"/>
      <c r="Q145" s="56"/>
      <c r="R145" s="56"/>
      <c r="S145" s="56"/>
      <c r="T145" s="56"/>
    </row>
    <row r="146" spans="1:20" s="24" customFormat="1" ht="16.5" customHeight="1">
      <c r="A146" s="78">
        <v>2</v>
      </c>
      <c r="B146" s="79"/>
      <c r="C146" s="106" t="e">
        <f t="shared" ref="C146:C204" si="4">VLOOKUP(B146,$M$16:$N$144,2,FALSE)</f>
        <v>#N/A</v>
      </c>
      <c r="D146" s="75" t="e">
        <f t="shared" ref="D146:D204" si="5">VLOOKUP(B146,$M$16:$O$144,3,FALSE)</f>
        <v>#N/A</v>
      </c>
      <c r="E146" s="76"/>
      <c r="F146" s="77"/>
      <c r="G146" s="130">
        <f t="shared" ref="G146:G204" si="6">DATEDIF(F146,H146,"Y")</f>
        <v>126</v>
      </c>
      <c r="H146" s="132">
        <f>H145</f>
        <v>46387</v>
      </c>
      <c r="I146" s="81" t="e">
        <f t="shared" ref="I146:I204" si="7">VLOOKUP(G146,$P$16:$Q$144,2,FALSE)</f>
        <v>#N/A</v>
      </c>
      <c r="J146" s="83"/>
      <c r="K146" s="171">
        <f>K145</f>
        <v>0</v>
      </c>
      <c r="L146" s="171"/>
      <c r="M146" s="51"/>
      <c r="N146" s="55"/>
      <c r="O146" s="55"/>
      <c r="P146" s="56"/>
      <c r="Q146" s="56"/>
      <c r="R146" s="56"/>
      <c r="S146" s="56"/>
      <c r="T146" s="56"/>
    </row>
    <row r="147" spans="1:20" s="24" customFormat="1" ht="16.5" customHeight="1">
      <c r="A147" s="78">
        <v>3</v>
      </c>
      <c r="B147" s="79"/>
      <c r="C147" s="106" t="e">
        <f t="shared" si="4"/>
        <v>#N/A</v>
      </c>
      <c r="D147" s="75" t="e">
        <f t="shared" si="5"/>
        <v>#N/A</v>
      </c>
      <c r="E147" s="80"/>
      <c r="F147" s="77"/>
      <c r="G147" s="130">
        <f t="shared" si="6"/>
        <v>126</v>
      </c>
      <c r="H147" s="132">
        <f t="shared" ref="H147:H210" si="8">H146</f>
        <v>46387</v>
      </c>
      <c r="I147" s="81" t="e">
        <f t="shared" si="7"/>
        <v>#N/A</v>
      </c>
      <c r="J147" s="83"/>
      <c r="K147" s="171">
        <f t="shared" ref="K147:K210" si="9">K146</f>
        <v>0</v>
      </c>
      <c r="L147" s="171"/>
      <c r="M147" s="51"/>
      <c r="N147" s="55"/>
      <c r="O147" s="55"/>
      <c r="P147" s="56"/>
      <c r="Q147" s="56"/>
      <c r="R147" s="56"/>
      <c r="S147" s="56"/>
      <c r="T147" s="56"/>
    </row>
    <row r="148" spans="1:20" s="24" customFormat="1" ht="16.5" customHeight="1">
      <c r="A148" s="78">
        <v>4</v>
      </c>
      <c r="B148" s="79"/>
      <c r="C148" s="106" t="e">
        <f t="shared" si="4"/>
        <v>#N/A</v>
      </c>
      <c r="D148" s="75" t="e">
        <f t="shared" si="5"/>
        <v>#N/A</v>
      </c>
      <c r="E148" s="80"/>
      <c r="F148" s="77"/>
      <c r="G148" s="130">
        <f t="shared" si="6"/>
        <v>126</v>
      </c>
      <c r="H148" s="132">
        <f t="shared" si="8"/>
        <v>46387</v>
      </c>
      <c r="I148" s="81" t="e">
        <f t="shared" si="7"/>
        <v>#N/A</v>
      </c>
      <c r="J148" s="83"/>
      <c r="K148" s="171">
        <f t="shared" si="9"/>
        <v>0</v>
      </c>
      <c r="L148" s="171"/>
      <c r="M148" s="51"/>
      <c r="N148" s="55"/>
      <c r="O148" s="55"/>
      <c r="P148" s="56"/>
      <c r="Q148" s="56"/>
      <c r="R148" s="56"/>
      <c r="S148" s="56"/>
      <c r="T148" s="56"/>
    </row>
    <row r="149" spans="1:20" s="24" customFormat="1" ht="16.5" customHeight="1">
      <c r="A149" s="78">
        <v>5</v>
      </c>
      <c r="B149" s="79"/>
      <c r="C149" s="106" t="e">
        <f t="shared" si="4"/>
        <v>#N/A</v>
      </c>
      <c r="D149" s="75" t="e">
        <f t="shared" si="5"/>
        <v>#N/A</v>
      </c>
      <c r="E149" s="80"/>
      <c r="F149" s="77"/>
      <c r="G149" s="130">
        <f t="shared" si="6"/>
        <v>126</v>
      </c>
      <c r="H149" s="132">
        <f t="shared" si="8"/>
        <v>46387</v>
      </c>
      <c r="I149" s="81" t="e">
        <f t="shared" si="7"/>
        <v>#N/A</v>
      </c>
      <c r="J149" s="83"/>
      <c r="K149" s="171">
        <f t="shared" si="9"/>
        <v>0</v>
      </c>
      <c r="L149" s="171"/>
      <c r="M149" s="51"/>
      <c r="N149" s="55"/>
      <c r="O149" s="55"/>
      <c r="P149" s="56"/>
      <c r="Q149" s="56"/>
      <c r="R149" s="56"/>
      <c r="S149" s="56"/>
      <c r="T149" s="56"/>
    </row>
    <row r="150" spans="1:20" s="24" customFormat="1" ht="16.5" customHeight="1">
      <c r="A150" s="78">
        <v>6</v>
      </c>
      <c r="B150" s="79"/>
      <c r="C150" s="106" t="e">
        <f t="shared" si="4"/>
        <v>#N/A</v>
      </c>
      <c r="D150" s="75" t="e">
        <f t="shared" si="5"/>
        <v>#N/A</v>
      </c>
      <c r="E150" s="80"/>
      <c r="F150" s="77"/>
      <c r="G150" s="130">
        <f t="shared" si="6"/>
        <v>126</v>
      </c>
      <c r="H150" s="132">
        <f t="shared" si="8"/>
        <v>46387</v>
      </c>
      <c r="I150" s="81" t="e">
        <f t="shared" si="7"/>
        <v>#N/A</v>
      </c>
      <c r="J150" s="83"/>
      <c r="K150" s="171">
        <f t="shared" si="9"/>
        <v>0</v>
      </c>
      <c r="L150" s="171"/>
      <c r="M150" s="51"/>
      <c r="N150" s="55"/>
      <c r="O150" s="55"/>
      <c r="P150" s="56"/>
      <c r="Q150" s="56"/>
      <c r="R150" s="56"/>
      <c r="S150" s="56"/>
      <c r="T150" s="56"/>
    </row>
    <row r="151" spans="1:20" s="24" customFormat="1" ht="16.5" customHeight="1">
      <c r="A151" s="78">
        <v>7</v>
      </c>
      <c r="B151" s="79"/>
      <c r="C151" s="106" t="e">
        <f t="shared" si="4"/>
        <v>#N/A</v>
      </c>
      <c r="D151" s="75" t="e">
        <f t="shared" si="5"/>
        <v>#N/A</v>
      </c>
      <c r="E151" s="80"/>
      <c r="F151" s="77"/>
      <c r="G151" s="130">
        <f t="shared" si="6"/>
        <v>126</v>
      </c>
      <c r="H151" s="132">
        <f t="shared" si="8"/>
        <v>46387</v>
      </c>
      <c r="I151" s="81" t="e">
        <f t="shared" si="7"/>
        <v>#N/A</v>
      </c>
      <c r="J151" s="83"/>
      <c r="K151" s="171">
        <f t="shared" si="9"/>
        <v>0</v>
      </c>
      <c r="L151" s="171"/>
      <c r="M151" s="51"/>
      <c r="N151" s="55"/>
      <c r="O151" s="55"/>
      <c r="P151" s="56"/>
      <c r="Q151" s="56"/>
      <c r="R151" s="56"/>
      <c r="S151" s="56"/>
      <c r="T151" s="56"/>
    </row>
    <row r="152" spans="1:20" s="24" customFormat="1" ht="16.5" customHeight="1">
      <c r="A152" s="78">
        <v>8</v>
      </c>
      <c r="B152" s="79"/>
      <c r="C152" s="106" t="e">
        <f t="shared" si="4"/>
        <v>#N/A</v>
      </c>
      <c r="D152" s="75" t="e">
        <f t="shared" si="5"/>
        <v>#N/A</v>
      </c>
      <c r="E152" s="80"/>
      <c r="F152" s="77"/>
      <c r="G152" s="130">
        <f t="shared" si="6"/>
        <v>126</v>
      </c>
      <c r="H152" s="132">
        <f t="shared" si="8"/>
        <v>46387</v>
      </c>
      <c r="I152" s="81" t="e">
        <f t="shared" si="7"/>
        <v>#N/A</v>
      </c>
      <c r="J152" s="83"/>
      <c r="K152" s="171">
        <f t="shared" si="9"/>
        <v>0</v>
      </c>
      <c r="L152" s="171"/>
      <c r="M152" s="51"/>
      <c r="N152" s="55"/>
      <c r="O152" s="55"/>
      <c r="P152" s="56"/>
      <c r="Q152" s="56"/>
      <c r="R152" s="56"/>
      <c r="S152" s="56"/>
      <c r="T152" s="56"/>
    </row>
    <row r="153" spans="1:20" s="24" customFormat="1" ht="16.5" customHeight="1">
      <c r="A153" s="78">
        <v>9</v>
      </c>
      <c r="B153" s="79"/>
      <c r="C153" s="106" t="e">
        <f t="shared" si="4"/>
        <v>#N/A</v>
      </c>
      <c r="D153" s="75" t="e">
        <f t="shared" si="5"/>
        <v>#N/A</v>
      </c>
      <c r="E153" s="80"/>
      <c r="F153" s="77"/>
      <c r="G153" s="130">
        <f t="shared" si="6"/>
        <v>126</v>
      </c>
      <c r="H153" s="132">
        <f t="shared" si="8"/>
        <v>46387</v>
      </c>
      <c r="I153" s="81" t="e">
        <f t="shared" si="7"/>
        <v>#N/A</v>
      </c>
      <c r="J153" s="83"/>
      <c r="K153" s="171">
        <f t="shared" si="9"/>
        <v>0</v>
      </c>
      <c r="L153" s="171"/>
      <c r="M153" s="55"/>
      <c r="N153" s="55"/>
      <c r="O153" s="55"/>
      <c r="P153" s="56"/>
      <c r="Q153" s="56"/>
      <c r="R153" s="56"/>
      <c r="S153" s="56"/>
      <c r="T153" s="56"/>
    </row>
    <row r="154" spans="1:20" s="24" customFormat="1" ht="16.5" customHeight="1">
      <c r="A154" s="78">
        <v>10</v>
      </c>
      <c r="B154" s="79"/>
      <c r="C154" s="106" t="e">
        <f t="shared" si="4"/>
        <v>#N/A</v>
      </c>
      <c r="D154" s="75" t="e">
        <f t="shared" si="5"/>
        <v>#N/A</v>
      </c>
      <c r="E154" s="80"/>
      <c r="F154" s="77"/>
      <c r="G154" s="130">
        <f t="shared" si="6"/>
        <v>126</v>
      </c>
      <c r="H154" s="132">
        <f t="shared" si="8"/>
        <v>46387</v>
      </c>
      <c r="I154" s="81" t="e">
        <f t="shared" si="7"/>
        <v>#N/A</v>
      </c>
      <c r="J154" s="83"/>
      <c r="K154" s="171">
        <f t="shared" si="9"/>
        <v>0</v>
      </c>
      <c r="L154" s="171"/>
      <c r="M154" s="55"/>
      <c r="N154" s="55"/>
      <c r="O154" s="55"/>
      <c r="P154" s="56"/>
      <c r="Q154" s="56"/>
      <c r="R154" s="56"/>
      <c r="S154" s="56"/>
      <c r="T154" s="56"/>
    </row>
    <row r="155" spans="1:20" s="24" customFormat="1" ht="16.5" customHeight="1">
      <c r="A155" s="78">
        <v>11</v>
      </c>
      <c r="B155" s="79"/>
      <c r="C155" s="106" t="e">
        <f t="shared" si="4"/>
        <v>#N/A</v>
      </c>
      <c r="D155" s="75" t="e">
        <f t="shared" si="5"/>
        <v>#N/A</v>
      </c>
      <c r="E155" s="80"/>
      <c r="F155" s="77"/>
      <c r="G155" s="130">
        <f t="shared" si="6"/>
        <v>126</v>
      </c>
      <c r="H155" s="132">
        <f t="shared" si="8"/>
        <v>46387</v>
      </c>
      <c r="I155" s="81" t="e">
        <f t="shared" si="7"/>
        <v>#N/A</v>
      </c>
      <c r="J155" s="83"/>
      <c r="K155" s="171">
        <f t="shared" si="9"/>
        <v>0</v>
      </c>
      <c r="L155" s="171"/>
      <c r="M155" s="55"/>
      <c r="N155" s="55"/>
      <c r="O155" s="55"/>
      <c r="P155" s="56"/>
      <c r="Q155" s="56"/>
      <c r="R155" s="56"/>
      <c r="S155" s="56"/>
      <c r="T155" s="56"/>
    </row>
    <row r="156" spans="1:20" s="24" customFormat="1" ht="16.5" customHeight="1">
      <c r="A156" s="78">
        <v>12</v>
      </c>
      <c r="B156" s="79"/>
      <c r="C156" s="106" t="e">
        <f t="shared" si="4"/>
        <v>#N/A</v>
      </c>
      <c r="D156" s="75" t="e">
        <f t="shared" si="5"/>
        <v>#N/A</v>
      </c>
      <c r="E156" s="80"/>
      <c r="F156" s="77"/>
      <c r="G156" s="130">
        <f t="shared" si="6"/>
        <v>126</v>
      </c>
      <c r="H156" s="132">
        <f t="shared" si="8"/>
        <v>46387</v>
      </c>
      <c r="I156" s="81" t="e">
        <f t="shared" si="7"/>
        <v>#N/A</v>
      </c>
      <c r="J156" s="83"/>
      <c r="K156" s="171">
        <f t="shared" si="9"/>
        <v>0</v>
      </c>
      <c r="L156" s="171"/>
      <c r="M156" s="55"/>
      <c r="N156" s="55"/>
      <c r="O156" s="55"/>
      <c r="P156" s="56"/>
      <c r="Q156" s="56"/>
      <c r="R156" s="56"/>
      <c r="S156" s="56"/>
      <c r="T156" s="56"/>
    </row>
    <row r="157" spans="1:20" s="24" customFormat="1" ht="16.5" customHeight="1">
      <c r="A157" s="78">
        <v>13</v>
      </c>
      <c r="B157" s="79"/>
      <c r="C157" s="106" t="e">
        <f t="shared" si="4"/>
        <v>#N/A</v>
      </c>
      <c r="D157" s="75" t="e">
        <f t="shared" si="5"/>
        <v>#N/A</v>
      </c>
      <c r="E157" s="80"/>
      <c r="F157" s="77"/>
      <c r="G157" s="130">
        <f t="shared" si="6"/>
        <v>126</v>
      </c>
      <c r="H157" s="132">
        <f t="shared" si="8"/>
        <v>46387</v>
      </c>
      <c r="I157" s="81" t="e">
        <f t="shared" si="7"/>
        <v>#N/A</v>
      </c>
      <c r="J157" s="83"/>
      <c r="K157" s="171">
        <f t="shared" si="9"/>
        <v>0</v>
      </c>
      <c r="L157" s="171"/>
      <c r="M157" s="55"/>
      <c r="N157" s="55"/>
      <c r="O157" s="55"/>
      <c r="P157" s="56"/>
      <c r="Q157" s="56"/>
      <c r="R157" s="56"/>
      <c r="S157" s="56"/>
      <c r="T157" s="56"/>
    </row>
    <row r="158" spans="1:20" s="24" customFormat="1" ht="16.5" customHeight="1">
      <c r="A158" s="78">
        <v>14</v>
      </c>
      <c r="B158" s="79"/>
      <c r="C158" s="106" t="e">
        <f t="shared" si="4"/>
        <v>#N/A</v>
      </c>
      <c r="D158" s="75" t="e">
        <f t="shared" si="5"/>
        <v>#N/A</v>
      </c>
      <c r="E158" s="80"/>
      <c r="F158" s="77"/>
      <c r="G158" s="130">
        <f t="shared" si="6"/>
        <v>126</v>
      </c>
      <c r="H158" s="132">
        <f t="shared" si="8"/>
        <v>46387</v>
      </c>
      <c r="I158" s="81" t="e">
        <f t="shared" si="7"/>
        <v>#N/A</v>
      </c>
      <c r="J158" s="83"/>
      <c r="K158" s="171">
        <f t="shared" si="9"/>
        <v>0</v>
      </c>
      <c r="L158" s="171"/>
      <c r="M158" s="55"/>
      <c r="N158" s="55"/>
      <c r="O158" s="55"/>
      <c r="P158" s="56"/>
      <c r="Q158" s="56"/>
      <c r="R158" s="56"/>
      <c r="S158" s="56"/>
      <c r="T158" s="56"/>
    </row>
    <row r="159" spans="1:20" s="24" customFormat="1" ht="16.5" customHeight="1">
      <c r="A159" s="78">
        <v>15</v>
      </c>
      <c r="B159" s="79"/>
      <c r="C159" s="106" t="e">
        <f t="shared" si="4"/>
        <v>#N/A</v>
      </c>
      <c r="D159" s="75" t="e">
        <f t="shared" si="5"/>
        <v>#N/A</v>
      </c>
      <c r="E159" s="80"/>
      <c r="F159" s="77"/>
      <c r="G159" s="130">
        <f t="shared" si="6"/>
        <v>126</v>
      </c>
      <c r="H159" s="132">
        <f t="shared" si="8"/>
        <v>46387</v>
      </c>
      <c r="I159" s="81" t="e">
        <f t="shared" si="7"/>
        <v>#N/A</v>
      </c>
      <c r="J159" s="83"/>
      <c r="K159" s="171">
        <f t="shared" si="9"/>
        <v>0</v>
      </c>
      <c r="L159" s="171"/>
      <c r="M159" s="55"/>
      <c r="N159" s="55"/>
      <c r="O159" s="55"/>
      <c r="P159" s="56"/>
      <c r="Q159" s="56"/>
      <c r="R159" s="56"/>
      <c r="S159" s="56"/>
      <c r="T159" s="56"/>
    </row>
    <row r="160" spans="1:20" s="24" customFormat="1" ht="16.5" customHeight="1">
      <c r="A160" s="78">
        <v>16</v>
      </c>
      <c r="B160" s="79"/>
      <c r="C160" s="106" t="e">
        <f t="shared" si="4"/>
        <v>#N/A</v>
      </c>
      <c r="D160" s="75" t="e">
        <f t="shared" si="5"/>
        <v>#N/A</v>
      </c>
      <c r="E160" s="80"/>
      <c r="F160" s="77"/>
      <c r="G160" s="130">
        <f t="shared" si="6"/>
        <v>126</v>
      </c>
      <c r="H160" s="132">
        <f t="shared" si="8"/>
        <v>46387</v>
      </c>
      <c r="I160" s="81" t="e">
        <f t="shared" si="7"/>
        <v>#N/A</v>
      </c>
      <c r="J160" s="83"/>
      <c r="K160" s="171">
        <f t="shared" si="9"/>
        <v>0</v>
      </c>
      <c r="L160" s="171"/>
      <c r="M160" s="55"/>
      <c r="N160" s="55"/>
      <c r="O160" s="55"/>
      <c r="P160" s="56"/>
      <c r="Q160" s="56"/>
      <c r="R160" s="56"/>
      <c r="S160" s="56"/>
      <c r="T160" s="56"/>
    </row>
    <row r="161" spans="1:20" s="24" customFormat="1" ht="16.5" customHeight="1">
      <c r="A161" s="78">
        <v>17</v>
      </c>
      <c r="B161" s="79"/>
      <c r="C161" s="106" t="e">
        <f t="shared" si="4"/>
        <v>#N/A</v>
      </c>
      <c r="D161" s="75" t="e">
        <f t="shared" si="5"/>
        <v>#N/A</v>
      </c>
      <c r="E161" s="80"/>
      <c r="F161" s="77"/>
      <c r="G161" s="130">
        <f t="shared" si="6"/>
        <v>126</v>
      </c>
      <c r="H161" s="132">
        <f t="shared" si="8"/>
        <v>46387</v>
      </c>
      <c r="I161" s="81" t="e">
        <f t="shared" si="7"/>
        <v>#N/A</v>
      </c>
      <c r="J161" s="83"/>
      <c r="K161" s="171">
        <f t="shared" si="9"/>
        <v>0</v>
      </c>
      <c r="L161" s="171"/>
      <c r="M161" s="55"/>
      <c r="N161" s="55"/>
      <c r="O161" s="55"/>
      <c r="P161" s="56"/>
      <c r="Q161" s="56"/>
      <c r="R161" s="56"/>
      <c r="S161" s="56"/>
      <c r="T161" s="56"/>
    </row>
    <row r="162" spans="1:20" s="24" customFormat="1" ht="16.5" customHeight="1">
      <c r="A162" s="78">
        <v>18</v>
      </c>
      <c r="B162" s="79"/>
      <c r="C162" s="106" t="e">
        <f t="shared" si="4"/>
        <v>#N/A</v>
      </c>
      <c r="D162" s="75" t="e">
        <f t="shared" si="5"/>
        <v>#N/A</v>
      </c>
      <c r="E162" s="80"/>
      <c r="F162" s="77"/>
      <c r="G162" s="130">
        <f t="shared" si="6"/>
        <v>126</v>
      </c>
      <c r="H162" s="132">
        <f t="shared" si="8"/>
        <v>46387</v>
      </c>
      <c r="I162" s="81" t="e">
        <f t="shared" si="7"/>
        <v>#N/A</v>
      </c>
      <c r="J162" s="83"/>
      <c r="K162" s="171">
        <f t="shared" si="9"/>
        <v>0</v>
      </c>
      <c r="L162" s="171"/>
      <c r="M162" s="55"/>
      <c r="N162" s="55"/>
      <c r="O162" s="55"/>
      <c r="P162" s="56"/>
      <c r="Q162" s="56"/>
      <c r="R162" s="56"/>
      <c r="S162" s="56"/>
      <c r="T162" s="56"/>
    </row>
    <row r="163" spans="1:20" s="24" customFormat="1" ht="16.5" customHeight="1">
      <c r="A163" s="78">
        <v>19</v>
      </c>
      <c r="B163" s="79"/>
      <c r="C163" s="106" t="e">
        <f t="shared" si="4"/>
        <v>#N/A</v>
      </c>
      <c r="D163" s="75" t="e">
        <f t="shared" si="5"/>
        <v>#N/A</v>
      </c>
      <c r="E163" s="80"/>
      <c r="F163" s="77"/>
      <c r="G163" s="130">
        <f t="shared" si="6"/>
        <v>126</v>
      </c>
      <c r="H163" s="132">
        <f t="shared" si="8"/>
        <v>46387</v>
      </c>
      <c r="I163" s="81" t="e">
        <f t="shared" si="7"/>
        <v>#N/A</v>
      </c>
      <c r="J163" s="83"/>
      <c r="K163" s="171">
        <f t="shared" si="9"/>
        <v>0</v>
      </c>
      <c r="L163" s="171"/>
      <c r="M163" s="55"/>
      <c r="N163" s="55"/>
      <c r="O163" s="55"/>
      <c r="P163" s="56"/>
      <c r="Q163" s="56"/>
      <c r="R163" s="56"/>
      <c r="S163" s="56"/>
      <c r="T163" s="56"/>
    </row>
    <row r="164" spans="1:20" s="24" customFormat="1" ht="16.5" customHeight="1">
      <c r="A164" s="78">
        <v>20</v>
      </c>
      <c r="B164" s="79"/>
      <c r="C164" s="106" t="e">
        <f t="shared" si="4"/>
        <v>#N/A</v>
      </c>
      <c r="D164" s="75" t="e">
        <f t="shared" si="5"/>
        <v>#N/A</v>
      </c>
      <c r="E164" s="80"/>
      <c r="F164" s="77"/>
      <c r="G164" s="130">
        <f t="shared" si="6"/>
        <v>126</v>
      </c>
      <c r="H164" s="132">
        <f t="shared" si="8"/>
        <v>46387</v>
      </c>
      <c r="I164" s="81" t="e">
        <f t="shared" si="7"/>
        <v>#N/A</v>
      </c>
      <c r="J164" s="83"/>
      <c r="K164" s="171">
        <f t="shared" si="9"/>
        <v>0</v>
      </c>
      <c r="L164" s="171"/>
      <c r="M164" s="55"/>
      <c r="N164" s="55"/>
      <c r="O164" s="55"/>
      <c r="P164" s="56"/>
      <c r="Q164" s="56"/>
      <c r="R164" s="56"/>
      <c r="S164" s="56"/>
      <c r="T164" s="56"/>
    </row>
    <row r="165" spans="1:20" s="24" customFormat="1" ht="16.5" customHeight="1">
      <c r="A165" s="78">
        <v>21</v>
      </c>
      <c r="B165" s="79"/>
      <c r="C165" s="106" t="e">
        <f t="shared" si="4"/>
        <v>#N/A</v>
      </c>
      <c r="D165" s="75" t="e">
        <f t="shared" si="5"/>
        <v>#N/A</v>
      </c>
      <c r="E165" s="80"/>
      <c r="F165" s="77"/>
      <c r="G165" s="130">
        <f t="shared" si="6"/>
        <v>126</v>
      </c>
      <c r="H165" s="132">
        <f t="shared" si="8"/>
        <v>46387</v>
      </c>
      <c r="I165" s="81" t="e">
        <f t="shared" si="7"/>
        <v>#N/A</v>
      </c>
      <c r="J165" s="83"/>
      <c r="K165" s="171">
        <f t="shared" si="9"/>
        <v>0</v>
      </c>
      <c r="L165" s="171"/>
      <c r="M165" s="55"/>
      <c r="N165" s="55"/>
      <c r="O165" s="55"/>
      <c r="P165" s="56"/>
      <c r="Q165" s="56"/>
      <c r="R165" s="56"/>
      <c r="S165" s="56"/>
      <c r="T165" s="56"/>
    </row>
    <row r="166" spans="1:20" s="24" customFormat="1" ht="16.5" customHeight="1">
      <c r="A166" s="78">
        <v>22</v>
      </c>
      <c r="B166" s="79"/>
      <c r="C166" s="106" t="e">
        <f t="shared" si="4"/>
        <v>#N/A</v>
      </c>
      <c r="D166" s="75" t="e">
        <f t="shared" si="5"/>
        <v>#N/A</v>
      </c>
      <c r="E166" s="80"/>
      <c r="F166" s="77"/>
      <c r="G166" s="130">
        <f t="shared" si="6"/>
        <v>126</v>
      </c>
      <c r="H166" s="132">
        <f t="shared" si="8"/>
        <v>46387</v>
      </c>
      <c r="I166" s="81" t="e">
        <f t="shared" si="7"/>
        <v>#N/A</v>
      </c>
      <c r="J166" s="83"/>
      <c r="K166" s="171">
        <f t="shared" si="9"/>
        <v>0</v>
      </c>
      <c r="L166" s="171"/>
      <c r="M166" s="55"/>
      <c r="N166" s="55"/>
      <c r="O166" s="55"/>
      <c r="P166" s="56"/>
      <c r="Q166" s="56"/>
      <c r="R166" s="56"/>
      <c r="S166" s="56"/>
      <c r="T166" s="56"/>
    </row>
    <row r="167" spans="1:20" s="24" customFormat="1" ht="16.5" customHeight="1">
      <c r="A167" s="78">
        <v>23</v>
      </c>
      <c r="B167" s="79"/>
      <c r="C167" s="106" t="e">
        <f t="shared" si="4"/>
        <v>#N/A</v>
      </c>
      <c r="D167" s="75" t="e">
        <f t="shared" si="5"/>
        <v>#N/A</v>
      </c>
      <c r="E167" s="80"/>
      <c r="F167" s="77"/>
      <c r="G167" s="130">
        <f t="shared" si="6"/>
        <v>126</v>
      </c>
      <c r="H167" s="132">
        <f t="shared" si="8"/>
        <v>46387</v>
      </c>
      <c r="I167" s="81" t="e">
        <f t="shared" si="7"/>
        <v>#N/A</v>
      </c>
      <c r="J167" s="83"/>
      <c r="K167" s="171">
        <f t="shared" si="9"/>
        <v>0</v>
      </c>
      <c r="L167" s="171"/>
      <c r="M167" s="55"/>
      <c r="N167" s="55"/>
      <c r="O167" s="55"/>
      <c r="P167" s="56"/>
      <c r="Q167" s="56"/>
      <c r="R167" s="56"/>
      <c r="S167" s="56"/>
      <c r="T167" s="56"/>
    </row>
    <row r="168" spans="1:20" s="24" customFormat="1" ht="16.5" customHeight="1">
      <c r="A168" s="78">
        <v>24</v>
      </c>
      <c r="B168" s="79"/>
      <c r="C168" s="106" t="e">
        <f t="shared" si="4"/>
        <v>#N/A</v>
      </c>
      <c r="D168" s="75" t="e">
        <f t="shared" si="5"/>
        <v>#N/A</v>
      </c>
      <c r="E168" s="80"/>
      <c r="F168" s="77"/>
      <c r="G168" s="130">
        <f t="shared" si="6"/>
        <v>126</v>
      </c>
      <c r="H168" s="132">
        <f t="shared" si="8"/>
        <v>46387</v>
      </c>
      <c r="I168" s="81" t="e">
        <f t="shared" si="7"/>
        <v>#N/A</v>
      </c>
      <c r="J168" s="83"/>
      <c r="K168" s="171">
        <f t="shared" si="9"/>
        <v>0</v>
      </c>
      <c r="L168" s="171"/>
      <c r="M168" s="55"/>
      <c r="N168" s="55"/>
      <c r="O168" s="55"/>
      <c r="P168" s="56"/>
      <c r="Q168" s="56"/>
      <c r="R168" s="56"/>
      <c r="S168" s="56"/>
      <c r="T168" s="56"/>
    </row>
    <row r="169" spans="1:20" s="24" customFormat="1" ht="16.5" customHeight="1">
      <c r="A169" s="78">
        <v>25</v>
      </c>
      <c r="B169" s="79"/>
      <c r="C169" s="106" t="e">
        <f t="shared" si="4"/>
        <v>#N/A</v>
      </c>
      <c r="D169" s="75" t="e">
        <f t="shared" si="5"/>
        <v>#N/A</v>
      </c>
      <c r="E169" s="80"/>
      <c r="F169" s="77"/>
      <c r="G169" s="130">
        <f t="shared" si="6"/>
        <v>126</v>
      </c>
      <c r="H169" s="132">
        <f t="shared" si="8"/>
        <v>46387</v>
      </c>
      <c r="I169" s="81" t="e">
        <f t="shared" si="7"/>
        <v>#N/A</v>
      </c>
      <c r="J169" s="83"/>
      <c r="K169" s="171">
        <f t="shared" si="9"/>
        <v>0</v>
      </c>
      <c r="L169" s="171"/>
      <c r="M169" s="55"/>
      <c r="N169" s="55"/>
      <c r="O169" s="55"/>
      <c r="P169" s="56"/>
      <c r="Q169" s="56"/>
      <c r="R169" s="56"/>
      <c r="S169" s="56"/>
      <c r="T169" s="56"/>
    </row>
    <row r="170" spans="1:20" s="24" customFormat="1" ht="16.5" customHeight="1">
      <c r="A170" s="78">
        <v>26</v>
      </c>
      <c r="B170" s="79"/>
      <c r="C170" s="106" t="e">
        <f t="shared" si="4"/>
        <v>#N/A</v>
      </c>
      <c r="D170" s="75" t="e">
        <f t="shared" si="5"/>
        <v>#N/A</v>
      </c>
      <c r="E170" s="80"/>
      <c r="F170" s="77"/>
      <c r="G170" s="130">
        <f t="shared" si="6"/>
        <v>126</v>
      </c>
      <c r="H170" s="132">
        <f t="shared" si="8"/>
        <v>46387</v>
      </c>
      <c r="I170" s="81" t="e">
        <f t="shared" si="7"/>
        <v>#N/A</v>
      </c>
      <c r="J170" s="83"/>
      <c r="K170" s="171">
        <f t="shared" si="9"/>
        <v>0</v>
      </c>
      <c r="L170" s="171"/>
      <c r="M170" s="55"/>
      <c r="N170" s="55"/>
      <c r="O170" s="55"/>
      <c r="P170" s="56"/>
      <c r="Q170" s="56"/>
      <c r="R170" s="56"/>
      <c r="S170" s="56"/>
      <c r="T170" s="56"/>
    </row>
    <row r="171" spans="1:20" s="24" customFormat="1" ht="16.5" customHeight="1">
      <c r="A171" s="78">
        <v>27</v>
      </c>
      <c r="B171" s="79"/>
      <c r="C171" s="106" t="e">
        <f t="shared" si="4"/>
        <v>#N/A</v>
      </c>
      <c r="D171" s="75" t="e">
        <f t="shared" si="5"/>
        <v>#N/A</v>
      </c>
      <c r="E171" s="80"/>
      <c r="F171" s="77"/>
      <c r="G171" s="130">
        <f t="shared" si="6"/>
        <v>126</v>
      </c>
      <c r="H171" s="132">
        <f t="shared" si="8"/>
        <v>46387</v>
      </c>
      <c r="I171" s="81" t="e">
        <f t="shared" si="7"/>
        <v>#N/A</v>
      </c>
      <c r="J171" s="83"/>
      <c r="K171" s="171">
        <f t="shared" si="9"/>
        <v>0</v>
      </c>
      <c r="L171" s="171"/>
      <c r="M171" s="55"/>
      <c r="N171" s="55"/>
      <c r="O171" s="55"/>
      <c r="P171" s="56"/>
      <c r="Q171" s="56"/>
      <c r="R171" s="56"/>
      <c r="S171" s="56"/>
      <c r="T171" s="56"/>
    </row>
    <row r="172" spans="1:20" s="24" customFormat="1" ht="16.5" customHeight="1">
      <c r="A172" s="78">
        <v>28</v>
      </c>
      <c r="B172" s="79"/>
      <c r="C172" s="106" t="e">
        <f t="shared" si="4"/>
        <v>#N/A</v>
      </c>
      <c r="D172" s="75" t="e">
        <f t="shared" si="5"/>
        <v>#N/A</v>
      </c>
      <c r="E172" s="80"/>
      <c r="F172" s="77"/>
      <c r="G172" s="130">
        <f t="shared" si="6"/>
        <v>126</v>
      </c>
      <c r="H172" s="132">
        <f t="shared" si="8"/>
        <v>46387</v>
      </c>
      <c r="I172" s="81" t="e">
        <f t="shared" si="7"/>
        <v>#N/A</v>
      </c>
      <c r="J172" s="83"/>
      <c r="K172" s="171">
        <f t="shared" si="9"/>
        <v>0</v>
      </c>
      <c r="L172" s="171"/>
      <c r="M172" s="55"/>
      <c r="N172" s="55"/>
      <c r="O172" s="55"/>
      <c r="P172" s="56"/>
      <c r="Q172" s="56"/>
      <c r="R172" s="56"/>
      <c r="S172" s="56"/>
      <c r="T172" s="56"/>
    </row>
    <row r="173" spans="1:20" s="24" customFormat="1" ht="16.5" customHeight="1">
      <c r="A173" s="78">
        <v>29</v>
      </c>
      <c r="B173" s="79"/>
      <c r="C173" s="106" t="e">
        <f t="shared" si="4"/>
        <v>#N/A</v>
      </c>
      <c r="D173" s="75" t="e">
        <f t="shared" si="5"/>
        <v>#N/A</v>
      </c>
      <c r="E173" s="80"/>
      <c r="F173" s="77"/>
      <c r="G173" s="130">
        <f t="shared" si="6"/>
        <v>126</v>
      </c>
      <c r="H173" s="132">
        <f t="shared" si="8"/>
        <v>46387</v>
      </c>
      <c r="I173" s="81" t="e">
        <f t="shared" si="7"/>
        <v>#N/A</v>
      </c>
      <c r="J173" s="83"/>
      <c r="K173" s="171">
        <f t="shared" si="9"/>
        <v>0</v>
      </c>
      <c r="L173" s="171"/>
      <c r="M173" s="55"/>
      <c r="N173" s="55"/>
      <c r="O173" s="55"/>
      <c r="P173" s="56"/>
      <c r="Q173" s="56"/>
      <c r="R173" s="56"/>
      <c r="S173" s="56"/>
      <c r="T173" s="56"/>
    </row>
    <row r="174" spans="1:20" s="24" customFormat="1" ht="16.5" customHeight="1">
      <c r="A174" s="78">
        <v>30</v>
      </c>
      <c r="B174" s="79"/>
      <c r="C174" s="106" t="e">
        <f t="shared" si="4"/>
        <v>#N/A</v>
      </c>
      <c r="D174" s="75" t="e">
        <f t="shared" si="5"/>
        <v>#N/A</v>
      </c>
      <c r="E174" s="80"/>
      <c r="F174" s="77"/>
      <c r="G174" s="130">
        <f t="shared" si="6"/>
        <v>126</v>
      </c>
      <c r="H174" s="132">
        <f t="shared" si="8"/>
        <v>46387</v>
      </c>
      <c r="I174" s="81" t="e">
        <f t="shared" si="7"/>
        <v>#N/A</v>
      </c>
      <c r="J174" s="83"/>
      <c r="K174" s="171">
        <f t="shared" si="9"/>
        <v>0</v>
      </c>
      <c r="L174" s="171"/>
      <c r="M174" s="55"/>
      <c r="N174" s="55"/>
      <c r="O174" s="55"/>
      <c r="P174" s="56"/>
      <c r="Q174" s="56"/>
      <c r="R174" s="56"/>
      <c r="S174" s="56"/>
      <c r="T174" s="56"/>
    </row>
    <row r="175" spans="1:20" s="24" customFormat="1" ht="16.5" customHeight="1">
      <c r="A175" s="78">
        <v>31</v>
      </c>
      <c r="B175" s="79"/>
      <c r="C175" s="106" t="e">
        <f t="shared" si="4"/>
        <v>#N/A</v>
      </c>
      <c r="D175" s="75" t="e">
        <f t="shared" si="5"/>
        <v>#N/A</v>
      </c>
      <c r="E175" s="80"/>
      <c r="F175" s="77"/>
      <c r="G175" s="130">
        <f t="shared" si="6"/>
        <v>126</v>
      </c>
      <c r="H175" s="132">
        <f t="shared" si="8"/>
        <v>46387</v>
      </c>
      <c r="I175" s="81" t="e">
        <f t="shared" si="7"/>
        <v>#N/A</v>
      </c>
      <c r="J175" s="83"/>
      <c r="K175" s="171">
        <f t="shared" si="9"/>
        <v>0</v>
      </c>
      <c r="L175" s="171"/>
      <c r="M175" s="55"/>
      <c r="N175" s="55"/>
      <c r="O175" s="55"/>
      <c r="P175" s="56"/>
      <c r="Q175" s="56"/>
      <c r="R175" s="56"/>
      <c r="S175" s="56"/>
      <c r="T175" s="56"/>
    </row>
    <row r="176" spans="1:20" s="24" customFormat="1" ht="16.5" customHeight="1">
      <c r="A176" s="78">
        <v>32</v>
      </c>
      <c r="B176" s="79"/>
      <c r="C176" s="106" t="e">
        <f t="shared" si="4"/>
        <v>#N/A</v>
      </c>
      <c r="D176" s="75" t="e">
        <f t="shared" si="5"/>
        <v>#N/A</v>
      </c>
      <c r="E176" s="80"/>
      <c r="F176" s="77"/>
      <c r="G176" s="130">
        <f t="shared" si="6"/>
        <v>126</v>
      </c>
      <c r="H176" s="132">
        <f t="shared" si="8"/>
        <v>46387</v>
      </c>
      <c r="I176" s="81" t="e">
        <f t="shared" si="7"/>
        <v>#N/A</v>
      </c>
      <c r="J176" s="83"/>
      <c r="K176" s="171">
        <f t="shared" si="9"/>
        <v>0</v>
      </c>
      <c r="L176" s="171"/>
      <c r="M176" s="55"/>
      <c r="N176" s="55"/>
      <c r="O176" s="55"/>
      <c r="P176" s="56"/>
      <c r="Q176" s="56"/>
      <c r="R176" s="56"/>
      <c r="S176" s="56"/>
      <c r="T176" s="56"/>
    </row>
    <row r="177" spans="1:20" s="24" customFormat="1" ht="16.5" customHeight="1">
      <c r="A177" s="78">
        <v>33</v>
      </c>
      <c r="B177" s="79"/>
      <c r="C177" s="106" t="e">
        <f t="shared" si="4"/>
        <v>#N/A</v>
      </c>
      <c r="D177" s="75" t="e">
        <f t="shared" si="5"/>
        <v>#N/A</v>
      </c>
      <c r="E177" s="80"/>
      <c r="F177" s="77"/>
      <c r="G177" s="130">
        <f t="shared" si="6"/>
        <v>126</v>
      </c>
      <c r="H177" s="132">
        <f t="shared" si="8"/>
        <v>46387</v>
      </c>
      <c r="I177" s="81" t="e">
        <f t="shared" si="7"/>
        <v>#N/A</v>
      </c>
      <c r="J177" s="83"/>
      <c r="K177" s="171">
        <f t="shared" si="9"/>
        <v>0</v>
      </c>
      <c r="L177" s="171"/>
      <c r="M177" s="55"/>
      <c r="N177" s="55"/>
      <c r="O177" s="55"/>
      <c r="P177" s="56"/>
      <c r="Q177" s="56"/>
      <c r="R177" s="56"/>
      <c r="S177" s="56"/>
      <c r="T177" s="56"/>
    </row>
    <row r="178" spans="1:20" s="24" customFormat="1" ht="16.5" customHeight="1">
      <c r="A178" s="78">
        <v>34</v>
      </c>
      <c r="B178" s="79"/>
      <c r="C178" s="106" t="e">
        <f t="shared" si="4"/>
        <v>#N/A</v>
      </c>
      <c r="D178" s="75" t="e">
        <f t="shared" si="5"/>
        <v>#N/A</v>
      </c>
      <c r="E178" s="80"/>
      <c r="F178" s="77"/>
      <c r="G178" s="130">
        <f t="shared" si="6"/>
        <v>126</v>
      </c>
      <c r="H178" s="132">
        <f t="shared" si="8"/>
        <v>46387</v>
      </c>
      <c r="I178" s="81" t="e">
        <f t="shared" si="7"/>
        <v>#N/A</v>
      </c>
      <c r="J178" s="83"/>
      <c r="K178" s="171">
        <f t="shared" si="9"/>
        <v>0</v>
      </c>
      <c r="L178" s="171"/>
      <c r="M178" s="55"/>
      <c r="N178" s="55"/>
      <c r="O178" s="55"/>
      <c r="P178" s="56"/>
      <c r="Q178" s="56"/>
      <c r="R178" s="56"/>
      <c r="S178" s="56"/>
      <c r="T178" s="56"/>
    </row>
    <row r="179" spans="1:20" s="24" customFormat="1" ht="16.5" customHeight="1">
      <c r="A179" s="78">
        <v>35</v>
      </c>
      <c r="B179" s="79"/>
      <c r="C179" s="106" t="e">
        <f t="shared" si="4"/>
        <v>#N/A</v>
      </c>
      <c r="D179" s="75" t="e">
        <f t="shared" si="5"/>
        <v>#N/A</v>
      </c>
      <c r="E179" s="80"/>
      <c r="F179" s="77"/>
      <c r="G179" s="130">
        <f t="shared" si="6"/>
        <v>126</v>
      </c>
      <c r="H179" s="132">
        <f t="shared" si="8"/>
        <v>46387</v>
      </c>
      <c r="I179" s="81" t="e">
        <f t="shared" si="7"/>
        <v>#N/A</v>
      </c>
      <c r="J179" s="83"/>
      <c r="K179" s="171">
        <f t="shared" si="9"/>
        <v>0</v>
      </c>
      <c r="L179" s="171"/>
      <c r="M179" s="55"/>
      <c r="N179" s="55"/>
      <c r="O179" s="55"/>
      <c r="P179" s="56"/>
      <c r="Q179" s="56"/>
      <c r="R179" s="56"/>
      <c r="S179" s="56"/>
      <c r="T179" s="56"/>
    </row>
    <row r="180" spans="1:20" s="24" customFormat="1" ht="16.5" customHeight="1">
      <c r="A180" s="78">
        <v>36</v>
      </c>
      <c r="B180" s="79"/>
      <c r="C180" s="106" t="e">
        <f t="shared" si="4"/>
        <v>#N/A</v>
      </c>
      <c r="D180" s="75" t="e">
        <f t="shared" si="5"/>
        <v>#N/A</v>
      </c>
      <c r="E180" s="80"/>
      <c r="F180" s="77"/>
      <c r="G180" s="130">
        <f t="shared" si="6"/>
        <v>126</v>
      </c>
      <c r="H180" s="132">
        <f t="shared" si="8"/>
        <v>46387</v>
      </c>
      <c r="I180" s="81" t="e">
        <f t="shared" si="7"/>
        <v>#N/A</v>
      </c>
      <c r="J180" s="83"/>
      <c r="K180" s="171">
        <f t="shared" si="9"/>
        <v>0</v>
      </c>
      <c r="L180" s="171"/>
      <c r="M180" s="55"/>
      <c r="N180" s="55"/>
      <c r="O180" s="55"/>
      <c r="P180" s="56"/>
      <c r="Q180" s="56"/>
      <c r="R180" s="56"/>
      <c r="S180" s="56"/>
      <c r="T180" s="56"/>
    </row>
    <row r="181" spans="1:20" s="24" customFormat="1" ht="16.5" customHeight="1">
      <c r="A181" s="78">
        <v>37</v>
      </c>
      <c r="B181" s="79"/>
      <c r="C181" s="106" t="e">
        <f t="shared" si="4"/>
        <v>#N/A</v>
      </c>
      <c r="D181" s="75" t="e">
        <f t="shared" si="5"/>
        <v>#N/A</v>
      </c>
      <c r="E181" s="80"/>
      <c r="F181" s="77"/>
      <c r="G181" s="130">
        <f t="shared" si="6"/>
        <v>126</v>
      </c>
      <c r="H181" s="132">
        <f t="shared" si="8"/>
        <v>46387</v>
      </c>
      <c r="I181" s="81" t="e">
        <f t="shared" si="7"/>
        <v>#N/A</v>
      </c>
      <c r="J181" s="83"/>
      <c r="K181" s="171">
        <f t="shared" si="9"/>
        <v>0</v>
      </c>
      <c r="L181" s="171"/>
      <c r="M181" s="55"/>
      <c r="N181" s="55"/>
      <c r="O181" s="55"/>
      <c r="P181" s="56"/>
      <c r="Q181" s="56"/>
      <c r="R181" s="56"/>
      <c r="S181" s="56"/>
      <c r="T181" s="56"/>
    </row>
    <row r="182" spans="1:20" s="24" customFormat="1" ht="16.5" customHeight="1">
      <c r="A182" s="78">
        <v>38</v>
      </c>
      <c r="B182" s="79"/>
      <c r="C182" s="106" t="e">
        <f t="shared" si="4"/>
        <v>#N/A</v>
      </c>
      <c r="D182" s="75" t="e">
        <f t="shared" si="5"/>
        <v>#N/A</v>
      </c>
      <c r="E182" s="80"/>
      <c r="F182" s="77"/>
      <c r="G182" s="130">
        <f t="shared" si="6"/>
        <v>126</v>
      </c>
      <c r="H182" s="132">
        <f t="shared" si="8"/>
        <v>46387</v>
      </c>
      <c r="I182" s="81" t="e">
        <f t="shared" si="7"/>
        <v>#N/A</v>
      </c>
      <c r="J182" s="83"/>
      <c r="K182" s="171">
        <f t="shared" si="9"/>
        <v>0</v>
      </c>
      <c r="L182" s="171"/>
      <c r="M182" s="55"/>
      <c r="N182" s="55"/>
      <c r="O182" s="55"/>
      <c r="P182" s="56"/>
      <c r="Q182" s="56"/>
      <c r="R182" s="56"/>
      <c r="S182" s="56"/>
      <c r="T182" s="56"/>
    </row>
    <row r="183" spans="1:20" s="24" customFormat="1" ht="16.5" customHeight="1">
      <c r="A183" s="78">
        <v>39</v>
      </c>
      <c r="B183" s="79"/>
      <c r="C183" s="106" t="e">
        <f t="shared" si="4"/>
        <v>#N/A</v>
      </c>
      <c r="D183" s="75" t="e">
        <f t="shared" si="5"/>
        <v>#N/A</v>
      </c>
      <c r="E183" s="80"/>
      <c r="F183" s="77"/>
      <c r="G183" s="130">
        <f t="shared" si="6"/>
        <v>126</v>
      </c>
      <c r="H183" s="132">
        <f t="shared" si="8"/>
        <v>46387</v>
      </c>
      <c r="I183" s="81" t="e">
        <f t="shared" si="7"/>
        <v>#N/A</v>
      </c>
      <c r="J183" s="83"/>
      <c r="K183" s="171">
        <f t="shared" si="9"/>
        <v>0</v>
      </c>
      <c r="L183" s="171"/>
      <c r="M183" s="55"/>
      <c r="N183" s="55"/>
      <c r="O183" s="55"/>
      <c r="P183" s="56"/>
      <c r="Q183" s="56"/>
      <c r="R183" s="56"/>
      <c r="S183" s="56"/>
      <c r="T183" s="56"/>
    </row>
    <row r="184" spans="1:20" s="24" customFormat="1" ht="16.5" customHeight="1">
      <c r="A184" s="78">
        <v>40</v>
      </c>
      <c r="B184" s="79"/>
      <c r="C184" s="106" t="e">
        <f t="shared" si="4"/>
        <v>#N/A</v>
      </c>
      <c r="D184" s="75" t="e">
        <f t="shared" si="5"/>
        <v>#N/A</v>
      </c>
      <c r="E184" s="80"/>
      <c r="F184" s="77"/>
      <c r="G184" s="130">
        <f t="shared" si="6"/>
        <v>126</v>
      </c>
      <c r="H184" s="132">
        <f t="shared" si="8"/>
        <v>46387</v>
      </c>
      <c r="I184" s="81" t="e">
        <f t="shared" si="7"/>
        <v>#N/A</v>
      </c>
      <c r="J184" s="83"/>
      <c r="K184" s="171">
        <f t="shared" si="9"/>
        <v>0</v>
      </c>
      <c r="L184" s="171"/>
      <c r="M184" s="55"/>
      <c r="N184" s="55"/>
      <c r="O184" s="55"/>
      <c r="P184" s="56"/>
      <c r="Q184" s="56"/>
      <c r="R184" s="56"/>
      <c r="S184" s="56"/>
      <c r="T184" s="56"/>
    </row>
    <row r="185" spans="1:20" s="24" customFormat="1" ht="16.5" customHeight="1">
      <c r="A185" s="78">
        <v>41</v>
      </c>
      <c r="B185" s="79"/>
      <c r="C185" s="106" t="e">
        <f t="shared" si="4"/>
        <v>#N/A</v>
      </c>
      <c r="D185" s="75" t="e">
        <f t="shared" si="5"/>
        <v>#N/A</v>
      </c>
      <c r="E185" s="80"/>
      <c r="F185" s="77"/>
      <c r="G185" s="130">
        <f t="shared" si="6"/>
        <v>126</v>
      </c>
      <c r="H185" s="132">
        <f t="shared" si="8"/>
        <v>46387</v>
      </c>
      <c r="I185" s="81" t="e">
        <f t="shared" si="7"/>
        <v>#N/A</v>
      </c>
      <c r="J185" s="83"/>
      <c r="K185" s="171">
        <f t="shared" si="9"/>
        <v>0</v>
      </c>
      <c r="L185" s="171"/>
      <c r="M185" s="55"/>
      <c r="N185" s="55"/>
      <c r="O185" s="55"/>
      <c r="P185" s="56"/>
      <c r="Q185" s="56"/>
      <c r="R185" s="56"/>
      <c r="S185" s="56"/>
      <c r="T185" s="56"/>
    </row>
    <row r="186" spans="1:20" s="24" customFormat="1" ht="16.5" customHeight="1">
      <c r="A186" s="78">
        <v>42</v>
      </c>
      <c r="B186" s="79"/>
      <c r="C186" s="106" t="e">
        <f t="shared" si="4"/>
        <v>#N/A</v>
      </c>
      <c r="D186" s="75" t="e">
        <f t="shared" si="5"/>
        <v>#N/A</v>
      </c>
      <c r="E186" s="80"/>
      <c r="F186" s="77"/>
      <c r="G186" s="130">
        <f t="shared" si="6"/>
        <v>126</v>
      </c>
      <c r="H186" s="132">
        <f t="shared" si="8"/>
        <v>46387</v>
      </c>
      <c r="I186" s="81" t="e">
        <f t="shared" si="7"/>
        <v>#N/A</v>
      </c>
      <c r="J186" s="83"/>
      <c r="K186" s="171">
        <f t="shared" si="9"/>
        <v>0</v>
      </c>
      <c r="L186" s="171"/>
      <c r="M186" s="55"/>
      <c r="N186" s="55"/>
      <c r="O186" s="55"/>
      <c r="P186" s="56"/>
      <c r="Q186" s="56"/>
      <c r="R186" s="56"/>
      <c r="S186" s="56"/>
      <c r="T186" s="56"/>
    </row>
    <row r="187" spans="1:20" s="24" customFormat="1" ht="16.5" customHeight="1">
      <c r="A187" s="78">
        <v>43</v>
      </c>
      <c r="B187" s="79"/>
      <c r="C187" s="106" t="e">
        <f t="shared" si="4"/>
        <v>#N/A</v>
      </c>
      <c r="D187" s="75" t="e">
        <f t="shared" si="5"/>
        <v>#N/A</v>
      </c>
      <c r="E187" s="80"/>
      <c r="F187" s="77"/>
      <c r="G187" s="130">
        <f t="shared" si="6"/>
        <v>126</v>
      </c>
      <c r="H187" s="132">
        <f t="shared" si="8"/>
        <v>46387</v>
      </c>
      <c r="I187" s="81" t="e">
        <f t="shared" si="7"/>
        <v>#N/A</v>
      </c>
      <c r="J187" s="83"/>
      <c r="K187" s="171">
        <f t="shared" si="9"/>
        <v>0</v>
      </c>
      <c r="L187" s="171"/>
      <c r="M187" s="55"/>
      <c r="N187" s="55"/>
      <c r="O187" s="55"/>
      <c r="P187" s="56"/>
      <c r="Q187" s="56"/>
      <c r="R187" s="56"/>
      <c r="S187" s="56"/>
      <c r="T187" s="56"/>
    </row>
    <row r="188" spans="1:20" s="24" customFormat="1" ht="16.5" customHeight="1">
      <c r="A188" s="78">
        <v>44</v>
      </c>
      <c r="B188" s="79"/>
      <c r="C188" s="106" t="e">
        <f t="shared" si="4"/>
        <v>#N/A</v>
      </c>
      <c r="D188" s="75" t="e">
        <f t="shared" si="5"/>
        <v>#N/A</v>
      </c>
      <c r="E188" s="80"/>
      <c r="F188" s="77"/>
      <c r="G188" s="130">
        <f t="shared" si="6"/>
        <v>126</v>
      </c>
      <c r="H188" s="132">
        <f t="shared" si="8"/>
        <v>46387</v>
      </c>
      <c r="I188" s="81" t="e">
        <f t="shared" si="7"/>
        <v>#N/A</v>
      </c>
      <c r="J188" s="83"/>
      <c r="K188" s="171">
        <f t="shared" si="9"/>
        <v>0</v>
      </c>
      <c r="L188" s="171"/>
      <c r="M188" s="55"/>
      <c r="N188" s="55"/>
      <c r="O188" s="55"/>
      <c r="P188" s="56"/>
      <c r="Q188" s="56"/>
      <c r="R188" s="56"/>
      <c r="S188" s="56"/>
      <c r="T188" s="56"/>
    </row>
    <row r="189" spans="1:20" s="24" customFormat="1" ht="16.5" customHeight="1">
      <c r="A189" s="78">
        <v>45</v>
      </c>
      <c r="B189" s="79"/>
      <c r="C189" s="106" t="e">
        <f t="shared" si="4"/>
        <v>#N/A</v>
      </c>
      <c r="D189" s="75" t="e">
        <f t="shared" si="5"/>
        <v>#N/A</v>
      </c>
      <c r="E189" s="80"/>
      <c r="F189" s="77"/>
      <c r="G189" s="130">
        <f t="shared" si="6"/>
        <v>126</v>
      </c>
      <c r="H189" s="132">
        <f t="shared" si="8"/>
        <v>46387</v>
      </c>
      <c r="I189" s="81" t="e">
        <f t="shared" si="7"/>
        <v>#N/A</v>
      </c>
      <c r="J189" s="83"/>
      <c r="K189" s="171">
        <f t="shared" si="9"/>
        <v>0</v>
      </c>
      <c r="L189" s="171"/>
      <c r="M189" s="55"/>
      <c r="N189" s="55"/>
      <c r="O189" s="55"/>
      <c r="P189" s="56"/>
      <c r="Q189" s="56"/>
      <c r="R189" s="56"/>
      <c r="S189" s="56"/>
      <c r="T189" s="56"/>
    </row>
    <row r="190" spans="1:20" s="24" customFormat="1" ht="16.5" customHeight="1">
      <c r="A190" s="78">
        <v>46</v>
      </c>
      <c r="B190" s="79"/>
      <c r="C190" s="106" t="e">
        <f t="shared" si="4"/>
        <v>#N/A</v>
      </c>
      <c r="D190" s="75" t="e">
        <f t="shared" si="5"/>
        <v>#N/A</v>
      </c>
      <c r="E190" s="80"/>
      <c r="F190" s="77"/>
      <c r="G190" s="130">
        <f t="shared" si="6"/>
        <v>126</v>
      </c>
      <c r="H190" s="132">
        <f t="shared" si="8"/>
        <v>46387</v>
      </c>
      <c r="I190" s="81" t="e">
        <f t="shared" si="7"/>
        <v>#N/A</v>
      </c>
      <c r="J190" s="83"/>
      <c r="K190" s="171">
        <f t="shared" si="9"/>
        <v>0</v>
      </c>
      <c r="L190" s="171"/>
      <c r="M190" s="55"/>
      <c r="N190" s="55"/>
      <c r="O190" s="55"/>
      <c r="P190" s="56"/>
      <c r="Q190" s="56"/>
      <c r="R190" s="56"/>
      <c r="S190" s="56"/>
      <c r="T190" s="56"/>
    </row>
    <row r="191" spans="1:20" s="24" customFormat="1" ht="16.5" customHeight="1">
      <c r="A191" s="78">
        <v>47</v>
      </c>
      <c r="B191" s="79"/>
      <c r="C191" s="106" t="e">
        <f t="shared" si="4"/>
        <v>#N/A</v>
      </c>
      <c r="D191" s="75" t="e">
        <f t="shared" si="5"/>
        <v>#N/A</v>
      </c>
      <c r="E191" s="80"/>
      <c r="F191" s="77"/>
      <c r="G191" s="130">
        <f t="shared" si="6"/>
        <v>126</v>
      </c>
      <c r="H191" s="132">
        <f t="shared" si="8"/>
        <v>46387</v>
      </c>
      <c r="I191" s="81" t="e">
        <f t="shared" si="7"/>
        <v>#N/A</v>
      </c>
      <c r="J191" s="83"/>
      <c r="K191" s="171">
        <f t="shared" si="9"/>
        <v>0</v>
      </c>
      <c r="L191" s="171"/>
      <c r="M191" s="55"/>
      <c r="N191" s="55"/>
      <c r="O191" s="55"/>
      <c r="P191" s="56"/>
      <c r="Q191" s="56"/>
      <c r="R191" s="56"/>
      <c r="S191" s="56"/>
      <c r="T191" s="56"/>
    </row>
    <row r="192" spans="1:20" s="24" customFormat="1" ht="16.5" customHeight="1">
      <c r="A192" s="78">
        <v>48</v>
      </c>
      <c r="B192" s="79"/>
      <c r="C192" s="106" t="e">
        <f t="shared" si="4"/>
        <v>#N/A</v>
      </c>
      <c r="D192" s="75" t="e">
        <f t="shared" si="5"/>
        <v>#N/A</v>
      </c>
      <c r="E192" s="80"/>
      <c r="F192" s="77"/>
      <c r="G192" s="130">
        <f t="shared" si="6"/>
        <v>126</v>
      </c>
      <c r="H192" s="132">
        <f t="shared" si="8"/>
        <v>46387</v>
      </c>
      <c r="I192" s="81" t="e">
        <f t="shared" si="7"/>
        <v>#N/A</v>
      </c>
      <c r="J192" s="83"/>
      <c r="K192" s="171">
        <f t="shared" si="9"/>
        <v>0</v>
      </c>
      <c r="L192" s="171"/>
      <c r="M192" s="55"/>
      <c r="N192" s="55"/>
      <c r="O192" s="55"/>
      <c r="P192" s="56"/>
      <c r="Q192" s="56"/>
      <c r="R192" s="56"/>
      <c r="S192" s="56"/>
      <c r="T192" s="56"/>
    </row>
    <row r="193" spans="1:20" s="24" customFormat="1" ht="16.5" customHeight="1">
      <c r="A193" s="78">
        <v>49</v>
      </c>
      <c r="B193" s="79"/>
      <c r="C193" s="106" t="e">
        <f t="shared" si="4"/>
        <v>#N/A</v>
      </c>
      <c r="D193" s="75" t="e">
        <f t="shared" si="5"/>
        <v>#N/A</v>
      </c>
      <c r="E193" s="80"/>
      <c r="F193" s="77"/>
      <c r="G193" s="130">
        <f t="shared" si="6"/>
        <v>126</v>
      </c>
      <c r="H193" s="132">
        <f t="shared" si="8"/>
        <v>46387</v>
      </c>
      <c r="I193" s="81" t="e">
        <f t="shared" si="7"/>
        <v>#N/A</v>
      </c>
      <c r="J193" s="83"/>
      <c r="K193" s="171">
        <f t="shared" si="9"/>
        <v>0</v>
      </c>
      <c r="L193" s="171"/>
      <c r="M193" s="55"/>
      <c r="N193" s="55"/>
      <c r="O193" s="55"/>
      <c r="P193" s="56"/>
      <c r="Q193" s="56"/>
      <c r="R193" s="56"/>
      <c r="S193" s="56"/>
      <c r="T193" s="56"/>
    </row>
    <row r="194" spans="1:20" s="24" customFormat="1" ht="16.5" customHeight="1">
      <c r="A194" s="78">
        <v>50</v>
      </c>
      <c r="B194" s="79"/>
      <c r="C194" s="106" t="e">
        <f t="shared" si="4"/>
        <v>#N/A</v>
      </c>
      <c r="D194" s="75" t="e">
        <f t="shared" si="5"/>
        <v>#N/A</v>
      </c>
      <c r="E194" s="80"/>
      <c r="F194" s="77"/>
      <c r="G194" s="130">
        <f t="shared" si="6"/>
        <v>126</v>
      </c>
      <c r="H194" s="132">
        <f t="shared" si="8"/>
        <v>46387</v>
      </c>
      <c r="I194" s="81" t="e">
        <f t="shared" si="7"/>
        <v>#N/A</v>
      </c>
      <c r="J194" s="83"/>
      <c r="K194" s="171">
        <f t="shared" si="9"/>
        <v>0</v>
      </c>
      <c r="L194" s="171"/>
      <c r="M194" s="55"/>
      <c r="N194" s="55"/>
      <c r="O194" s="55"/>
      <c r="P194" s="56"/>
      <c r="Q194" s="56"/>
      <c r="R194" s="56"/>
      <c r="S194" s="56"/>
      <c r="T194" s="56"/>
    </row>
    <row r="195" spans="1:20" s="24" customFormat="1" ht="16.5" customHeight="1">
      <c r="A195" s="78">
        <v>51</v>
      </c>
      <c r="B195" s="79"/>
      <c r="C195" s="106" t="e">
        <f t="shared" si="4"/>
        <v>#N/A</v>
      </c>
      <c r="D195" s="75" t="e">
        <f t="shared" si="5"/>
        <v>#N/A</v>
      </c>
      <c r="E195" s="80"/>
      <c r="F195" s="77"/>
      <c r="G195" s="130">
        <f t="shared" si="6"/>
        <v>126</v>
      </c>
      <c r="H195" s="132">
        <f t="shared" si="8"/>
        <v>46387</v>
      </c>
      <c r="I195" s="81" t="e">
        <f t="shared" si="7"/>
        <v>#N/A</v>
      </c>
      <c r="J195" s="83"/>
      <c r="K195" s="171">
        <f t="shared" si="9"/>
        <v>0</v>
      </c>
      <c r="L195" s="171"/>
      <c r="M195" s="55"/>
      <c r="N195" s="55"/>
      <c r="O195" s="55"/>
      <c r="P195" s="56"/>
      <c r="Q195" s="56"/>
      <c r="R195" s="56"/>
      <c r="S195" s="56"/>
      <c r="T195" s="56"/>
    </row>
    <row r="196" spans="1:20" s="24" customFormat="1" ht="16.5" customHeight="1">
      <c r="A196" s="78">
        <v>52</v>
      </c>
      <c r="B196" s="79"/>
      <c r="C196" s="106" t="e">
        <f t="shared" si="4"/>
        <v>#N/A</v>
      </c>
      <c r="D196" s="75" t="e">
        <f t="shared" si="5"/>
        <v>#N/A</v>
      </c>
      <c r="E196" s="80"/>
      <c r="F196" s="77"/>
      <c r="G196" s="130">
        <f t="shared" si="6"/>
        <v>126</v>
      </c>
      <c r="H196" s="132">
        <f t="shared" si="8"/>
        <v>46387</v>
      </c>
      <c r="I196" s="81" t="e">
        <f t="shared" si="7"/>
        <v>#N/A</v>
      </c>
      <c r="J196" s="83"/>
      <c r="K196" s="171">
        <f t="shared" si="9"/>
        <v>0</v>
      </c>
      <c r="L196" s="171"/>
      <c r="M196" s="55"/>
      <c r="N196" s="55"/>
      <c r="O196" s="55"/>
      <c r="P196" s="56"/>
      <c r="Q196" s="56"/>
      <c r="R196" s="56"/>
      <c r="S196" s="56"/>
      <c r="T196" s="56"/>
    </row>
    <row r="197" spans="1:20" s="24" customFormat="1" ht="16.5" customHeight="1">
      <c r="A197" s="78">
        <v>53</v>
      </c>
      <c r="B197" s="79"/>
      <c r="C197" s="106" t="e">
        <f t="shared" si="4"/>
        <v>#N/A</v>
      </c>
      <c r="D197" s="75" t="e">
        <f t="shared" si="5"/>
        <v>#N/A</v>
      </c>
      <c r="E197" s="80"/>
      <c r="F197" s="77"/>
      <c r="G197" s="130">
        <f t="shared" si="6"/>
        <v>126</v>
      </c>
      <c r="H197" s="132">
        <f t="shared" si="8"/>
        <v>46387</v>
      </c>
      <c r="I197" s="81" t="e">
        <f t="shared" si="7"/>
        <v>#N/A</v>
      </c>
      <c r="J197" s="83"/>
      <c r="K197" s="171">
        <f t="shared" si="9"/>
        <v>0</v>
      </c>
      <c r="L197" s="171"/>
      <c r="M197" s="55"/>
      <c r="N197" s="55"/>
      <c r="O197" s="55"/>
      <c r="P197" s="56"/>
      <c r="Q197" s="56"/>
      <c r="R197" s="56"/>
      <c r="S197" s="56"/>
      <c r="T197" s="56"/>
    </row>
    <row r="198" spans="1:20" s="24" customFormat="1" ht="16.5" customHeight="1">
      <c r="A198" s="78">
        <v>54</v>
      </c>
      <c r="B198" s="79"/>
      <c r="C198" s="106" t="e">
        <f t="shared" si="4"/>
        <v>#N/A</v>
      </c>
      <c r="D198" s="75" t="e">
        <f t="shared" si="5"/>
        <v>#N/A</v>
      </c>
      <c r="E198" s="80"/>
      <c r="F198" s="77"/>
      <c r="G198" s="130">
        <f t="shared" si="6"/>
        <v>126</v>
      </c>
      <c r="H198" s="132">
        <f t="shared" si="8"/>
        <v>46387</v>
      </c>
      <c r="I198" s="81" t="e">
        <f t="shared" si="7"/>
        <v>#N/A</v>
      </c>
      <c r="J198" s="83"/>
      <c r="K198" s="171">
        <f t="shared" si="9"/>
        <v>0</v>
      </c>
      <c r="L198" s="171"/>
      <c r="M198" s="55"/>
      <c r="N198" s="55"/>
      <c r="O198" s="55"/>
      <c r="P198" s="56"/>
      <c r="Q198" s="56"/>
      <c r="R198" s="56"/>
      <c r="S198" s="56"/>
      <c r="T198" s="56"/>
    </row>
    <row r="199" spans="1:20" s="24" customFormat="1" ht="16.5" customHeight="1">
      <c r="A199" s="78">
        <v>55</v>
      </c>
      <c r="B199" s="79"/>
      <c r="C199" s="106" t="e">
        <f t="shared" si="4"/>
        <v>#N/A</v>
      </c>
      <c r="D199" s="75" t="e">
        <f t="shared" si="5"/>
        <v>#N/A</v>
      </c>
      <c r="E199" s="80"/>
      <c r="F199" s="77"/>
      <c r="G199" s="130">
        <f t="shared" si="6"/>
        <v>126</v>
      </c>
      <c r="H199" s="132">
        <f t="shared" si="8"/>
        <v>46387</v>
      </c>
      <c r="I199" s="81" t="e">
        <f t="shared" si="7"/>
        <v>#N/A</v>
      </c>
      <c r="J199" s="83"/>
      <c r="K199" s="171">
        <f t="shared" si="9"/>
        <v>0</v>
      </c>
      <c r="L199" s="171"/>
      <c r="M199" s="55"/>
      <c r="N199" s="55"/>
      <c r="O199" s="55"/>
      <c r="P199" s="56"/>
      <c r="Q199" s="56"/>
      <c r="R199" s="56"/>
      <c r="S199" s="56"/>
      <c r="T199" s="56"/>
    </row>
    <row r="200" spans="1:20" s="24" customFormat="1" ht="16.5" customHeight="1">
      <c r="A200" s="78">
        <v>56</v>
      </c>
      <c r="B200" s="79"/>
      <c r="C200" s="106" t="e">
        <f t="shared" si="4"/>
        <v>#N/A</v>
      </c>
      <c r="D200" s="75" t="e">
        <f t="shared" si="5"/>
        <v>#N/A</v>
      </c>
      <c r="E200" s="80"/>
      <c r="F200" s="77"/>
      <c r="G200" s="130">
        <f t="shared" si="6"/>
        <v>126</v>
      </c>
      <c r="H200" s="132">
        <f t="shared" si="8"/>
        <v>46387</v>
      </c>
      <c r="I200" s="81" t="e">
        <f t="shared" si="7"/>
        <v>#N/A</v>
      </c>
      <c r="J200" s="83"/>
      <c r="K200" s="171">
        <f t="shared" si="9"/>
        <v>0</v>
      </c>
      <c r="L200" s="171"/>
      <c r="M200" s="55"/>
      <c r="N200" s="55"/>
      <c r="O200" s="55"/>
      <c r="P200" s="56"/>
      <c r="Q200" s="56"/>
      <c r="R200" s="56"/>
      <c r="S200" s="56"/>
      <c r="T200" s="56"/>
    </row>
    <row r="201" spans="1:20" s="24" customFormat="1" ht="16.5" customHeight="1">
      <c r="A201" s="78">
        <v>57</v>
      </c>
      <c r="B201" s="79"/>
      <c r="C201" s="106" t="e">
        <f t="shared" si="4"/>
        <v>#N/A</v>
      </c>
      <c r="D201" s="75" t="e">
        <f t="shared" si="5"/>
        <v>#N/A</v>
      </c>
      <c r="E201" s="80"/>
      <c r="F201" s="77"/>
      <c r="G201" s="130">
        <f t="shared" si="6"/>
        <v>126</v>
      </c>
      <c r="H201" s="132">
        <f t="shared" si="8"/>
        <v>46387</v>
      </c>
      <c r="I201" s="81" t="e">
        <f t="shared" si="7"/>
        <v>#N/A</v>
      </c>
      <c r="J201" s="83"/>
      <c r="K201" s="171">
        <f t="shared" si="9"/>
        <v>0</v>
      </c>
      <c r="L201" s="171"/>
      <c r="M201" s="55"/>
      <c r="N201" s="55"/>
      <c r="O201" s="55"/>
      <c r="P201" s="56"/>
      <c r="Q201" s="56"/>
      <c r="R201" s="56"/>
      <c r="S201" s="56"/>
      <c r="T201" s="56"/>
    </row>
    <row r="202" spans="1:20" s="24" customFormat="1" ht="16.5" customHeight="1">
      <c r="A202" s="78">
        <v>58</v>
      </c>
      <c r="B202" s="79"/>
      <c r="C202" s="106" t="e">
        <f t="shared" si="4"/>
        <v>#N/A</v>
      </c>
      <c r="D202" s="75" t="e">
        <f t="shared" si="5"/>
        <v>#N/A</v>
      </c>
      <c r="E202" s="80"/>
      <c r="F202" s="77"/>
      <c r="G202" s="130">
        <f t="shared" si="6"/>
        <v>126</v>
      </c>
      <c r="H202" s="132">
        <f t="shared" si="8"/>
        <v>46387</v>
      </c>
      <c r="I202" s="81" t="e">
        <f t="shared" si="7"/>
        <v>#N/A</v>
      </c>
      <c r="J202" s="83"/>
      <c r="K202" s="171">
        <f t="shared" si="9"/>
        <v>0</v>
      </c>
      <c r="L202" s="171"/>
      <c r="M202" s="55"/>
      <c r="N202" s="55"/>
      <c r="O202" s="55"/>
      <c r="P202" s="56"/>
      <c r="Q202" s="56"/>
      <c r="R202" s="56"/>
      <c r="S202" s="56"/>
      <c r="T202" s="56"/>
    </row>
    <row r="203" spans="1:20" s="24" customFormat="1" ht="16.5" customHeight="1">
      <c r="A203" s="78">
        <v>59</v>
      </c>
      <c r="B203" s="79"/>
      <c r="C203" s="106" t="e">
        <f t="shared" si="4"/>
        <v>#N/A</v>
      </c>
      <c r="D203" s="75" t="e">
        <f t="shared" si="5"/>
        <v>#N/A</v>
      </c>
      <c r="E203" s="80"/>
      <c r="F203" s="77"/>
      <c r="G203" s="130">
        <f t="shared" si="6"/>
        <v>126</v>
      </c>
      <c r="H203" s="132">
        <f t="shared" si="8"/>
        <v>46387</v>
      </c>
      <c r="I203" s="81" t="e">
        <f t="shared" si="7"/>
        <v>#N/A</v>
      </c>
      <c r="J203" s="83"/>
      <c r="K203" s="171">
        <f t="shared" si="9"/>
        <v>0</v>
      </c>
      <c r="L203" s="171"/>
      <c r="M203" s="55"/>
      <c r="N203" s="55"/>
      <c r="O203" s="55"/>
      <c r="P203" s="56"/>
      <c r="Q203" s="56"/>
      <c r="R203" s="56"/>
      <c r="S203" s="56"/>
      <c r="T203" s="56"/>
    </row>
    <row r="204" spans="1:20" s="24" customFormat="1" ht="16.5" customHeight="1">
      <c r="A204" s="78">
        <v>60</v>
      </c>
      <c r="B204" s="79"/>
      <c r="C204" s="106" t="e">
        <f t="shared" si="4"/>
        <v>#N/A</v>
      </c>
      <c r="D204" s="75" t="e">
        <f t="shared" si="5"/>
        <v>#N/A</v>
      </c>
      <c r="E204" s="80"/>
      <c r="F204" s="77"/>
      <c r="G204" s="130">
        <f t="shared" si="6"/>
        <v>126</v>
      </c>
      <c r="H204" s="132">
        <f t="shared" si="8"/>
        <v>46387</v>
      </c>
      <c r="I204" s="81" t="e">
        <f t="shared" si="7"/>
        <v>#N/A</v>
      </c>
      <c r="J204" s="83"/>
      <c r="K204" s="171">
        <f t="shared" si="9"/>
        <v>0</v>
      </c>
      <c r="L204" s="171"/>
      <c r="M204" s="55"/>
      <c r="N204" s="55"/>
      <c r="O204" s="55"/>
      <c r="P204" s="56"/>
      <c r="Q204" s="56"/>
      <c r="R204" s="56"/>
      <c r="S204" s="56"/>
      <c r="T204" s="56"/>
    </row>
    <row r="205" spans="1:20" ht="16.5">
      <c r="A205" s="78">
        <v>61</v>
      </c>
      <c r="B205" s="79"/>
      <c r="C205" s="106" t="e">
        <f t="shared" ref="C205:C218" si="10">VLOOKUP(B205,$M$16:$N$144,2,FALSE)</f>
        <v>#N/A</v>
      </c>
      <c r="D205" s="75" t="e">
        <f t="shared" ref="D205:D218" si="11">VLOOKUP(B205,$M$16:$O$144,3,FALSE)</f>
        <v>#N/A</v>
      </c>
      <c r="E205" s="80"/>
      <c r="F205" s="77"/>
      <c r="G205" s="130">
        <f t="shared" ref="G205:G218" si="12">DATEDIF(F205,H205,"Y")</f>
        <v>126</v>
      </c>
      <c r="H205" s="132">
        <f t="shared" si="8"/>
        <v>46387</v>
      </c>
      <c r="I205" s="81" t="e">
        <f t="shared" ref="I205:I218" si="13">VLOOKUP(G205,$P$16:$Q$144,2,FALSE)</f>
        <v>#N/A</v>
      </c>
      <c r="J205" s="83"/>
      <c r="K205" s="171">
        <f t="shared" si="9"/>
        <v>0</v>
      </c>
      <c r="L205" s="171"/>
    </row>
    <row r="206" spans="1:20" ht="16.5">
      <c r="A206" s="78">
        <v>62</v>
      </c>
      <c r="B206" s="79"/>
      <c r="C206" s="106" t="e">
        <f t="shared" si="10"/>
        <v>#N/A</v>
      </c>
      <c r="D206" s="75" t="e">
        <f t="shared" si="11"/>
        <v>#N/A</v>
      </c>
      <c r="E206" s="80"/>
      <c r="F206" s="77"/>
      <c r="G206" s="130">
        <f t="shared" si="12"/>
        <v>126</v>
      </c>
      <c r="H206" s="132">
        <f t="shared" si="8"/>
        <v>46387</v>
      </c>
      <c r="I206" s="81" t="e">
        <f t="shared" si="13"/>
        <v>#N/A</v>
      </c>
      <c r="J206" s="83"/>
      <c r="K206" s="171">
        <f t="shared" si="9"/>
        <v>0</v>
      </c>
      <c r="L206" s="171"/>
    </row>
    <row r="207" spans="1:20" ht="16.5">
      <c r="A207" s="78">
        <v>63</v>
      </c>
      <c r="B207" s="79"/>
      <c r="C207" s="106" t="e">
        <f t="shared" si="10"/>
        <v>#N/A</v>
      </c>
      <c r="D207" s="75" t="e">
        <f t="shared" si="11"/>
        <v>#N/A</v>
      </c>
      <c r="E207" s="80"/>
      <c r="F207" s="77"/>
      <c r="G207" s="130">
        <f t="shared" si="12"/>
        <v>126</v>
      </c>
      <c r="H207" s="132">
        <f t="shared" si="8"/>
        <v>46387</v>
      </c>
      <c r="I207" s="81" t="e">
        <f t="shared" si="13"/>
        <v>#N/A</v>
      </c>
      <c r="J207" s="83"/>
      <c r="K207" s="171">
        <f t="shared" si="9"/>
        <v>0</v>
      </c>
      <c r="L207" s="171"/>
    </row>
    <row r="208" spans="1:20" ht="16.5">
      <c r="A208" s="78">
        <v>64</v>
      </c>
      <c r="B208" s="79"/>
      <c r="C208" s="106" t="e">
        <f t="shared" si="10"/>
        <v>#N/A</v>
      </c>
      <c r="D208" s="75" t="e">
        <f t="shared" si="11"/>
        <v>#N/A</v>
      </c>
      <c r="E208" s="80"/>
      <c r="F208" s="77"/>
      <c r="G208" s="130">
        <f t="shared" si="12"/>
        <v>126</v>
      </c>
      <c r="H208" s="132">
        <f t="shared" si="8"/>
        <v>46387</v>
      </c>
      <c r="I208" s="81" t="e">
        <f t="shared" si="13"/>
        <v>#N/A</v>
      </c>
      <c r="J208" s="83"/>
      <c r="K208" s="171">
        <f t="shared" si="9"/>
        <v>0</v>
      </c>
      <c r="L208" s="171"/>
    </row>
    <row r="209" spans="1:12" ht="16.5">
      <c r="A209" s="78">
        <v>65</v>
      </c>
      <c r="B209" s="79"/>
      <c r="C209" s="106" t="e">
        <f t="shared" si="10"/>
        <v>#N/A</v>
      </c>
      <c r="D209" s="75" t="e">
        <f t="shared" si="11"/>
        <v>#N/A</v>
      </c>
      <c r="E209" s="80"/>
      <c r="F209" s="77"/>
      <c r="G209" s="130">
        <f t="shared" si="12"/>
        <v>126</v>
      </c>
      <c r="H209" s="132">
        <f t="shared" si="8"/>
        <v>46387</v>
      </c>
      <c r="I209" s="81" t="e">
        <f t="shared" si="13"/>
        <v>#N/A</v>
      </c>
      <c r="J209" s="83"/>
      <c r="K209" s="171">
        <f t="shared" si="9"/>
        <v>0</v>
      </c>
      <c r="L209" s="171"/>
    </row>
    <row r="210" spans="1:12" ht="16.5">
      <c r="A210" s="78">
        <v>66</v>
      </c>
      <c r="B210" s="79"/>
      <c r="C210" s="106" t="e">
        <f t="shared" si="10"/>
        <v>#N/A</v>
      </c>
      <c r="D210" s="75" t="e">
        <f t="shared" si="11"/>
        <v>#N/A</v>
      </c>
      <c r="E210" s="80"/>
      <c r="F210" s="77"/>
      <c r="G210" s="130">
        <f t="shared" si="12"/>
        <v>126</v>
      </c>
      <c r="H210" s="132">
        <f t="shared" si="8"/>
        <v>46387</v>
      </c>
      <c r="I210" s="81" t="e">
        <f t="shared" si="13"/>
        <v>#N/A</v>
      </c>
      <c r="J210" s="83"/>
      <c r="K210" s="171">
        <f t="shared" si="9"/>
        <v>0</v>
      </c>
      <c r="L210" s="171"/>
    </row>
    <row r="211" spans="1:12" ht="16.5">
      <c r="A211" s="78">
        <v>67</v>
      </c>
      <c r="B211" s="79"/>
      <c r="C211" s="106" t="e">
        <f t="shared" si="10"/>
        <v>#N/A</v>
      </c>
      <c r="D211" s="75" t="e">
        <f t="shared" si="11"/>
        <v>#N/A</v>
      </c>
      <c r="E211" s="80"/>
      <c r="F211" s="77"/>
      <c r="G211" s="130">
        <f t="shared" si="12"/>
        <v>126</v>
      </c>
      <c r="H211" s="132">
        <f t="shared" ref="H211:H244" si="14">H210</f>
        <v>46387</v>
      </c>
      <c r="I211" s="81" t="e">
        <f t="shared" si="13"/>
        <v>#N/A</v>
      </c>
      <c r="J211" s="83"/>
      <c r="K211" s="171">
        <f t="shared" ref="K211:K244" si="15">K210</f>
        <v>0</v>
      </c>
      <c r="L211" s="171"/>
    </row>
    <row r="212" spans="1:12" ht="16.5">
      <c r="A212" s="78">
        <v>68</v>
      </c>
      <c r="B212" s="79"/>
      <c r="C212" s="106" t="e">
        <f t="shared" si="10"/>
        <v>#N/A</v>
      </c>
      <c r="D212" s="75" t="e">
        <f t="shared" si="11"/>
        <v>#N/A</v>
      </c>
      <c r="E212" s="80"/>
      <c r="F212" s="77"/>
      <c r="G212" s="130">
        <f t="shared" si="12"/>
        <v>126</v>
      </c>
      <c r="H212" s="132">
        <f t="shared" si="14"/>
        <v>46387</v>
      </c>
      <c r="I212" s="81" t="e">
        <f t="shared" si="13"/>
        <v>#N/A</v>
      </c>
      <c r="J212" s="83"/>
      <c r="K212" s="171">
        <f t="shared" si="15"/>
        <v>0</v>
      </c>
      <c r="L212" s="171"/>
    </row>
    <row r="213" spans="1:12" ht="16.5">
      <c r="A213" s="78">
        <v>69</v>
      </c>
      <c r="B213" s="79"/>
      <c r="C213" s="106" t="e">
        <f t="shared" si="10"/>
        <v>#N/A</v>
      </c>
      <c r="D213" s="75" t="e">
        <f t="shared" si="11"/>
        <v>#N/A</v>
      </c>
      <c r="E213" s="80"/>
      <c r="F213" s="77"/>
      <c r="G213" s="130">
        <f t="shared" si="12"/>
        <v>126</v>
      </c>
      <c r="H213" s="132">
        <f t="shared" si="14"/>
        <v>46387</v>
      </c>
      <c r="I213" s="81" t="e">
        <f t="shared" si="13"/>
        <v>#N/A</v>
      </c>
      <c r="J213" s="83"/>
      <c r="K213" s="171">
        <f t="shared" si="15"/>
        <v>0</v>
      </c>
      <c r="L213" s="171"/>
    </row>
    <row r="214" spans="1:12" ht="16.5">
      <c r="A214" s="78">
        <v>70</v>
      </c>
      <c r="B214" s="79"/>
      <c r="C214" s="106" t="e">
        <f t="shared" si="10"/>
        <v>#N/A</v>
      </c>
      <c r="D214" s="75" t="e">
        <f t="shared" si="11"/>
        <v>#N/A</v>
      </c>
      <c r="E214" s="80"/>
      <c r="F214" s="77"/>
      <c r="G214" s="130">
        <f t="shared" si="12"/>
        <v>126</v>
      </c>
      <c r="H214" s="132">
        <f t="shared" si="14"/>
        <v>46387</v>
      </c>
      <c r="I214" s="81" t="e">
        <f t="shared" si="13"/>
        <v>#N/A</v>
      </c>
      <c r="J214" s="83"/>
      <c r="K214" s="171">
        <f t="shared" si="15"/>
        <v>0</v>
      </c>
      <c r="L214" s="171"/>
    </row>
    <row r="215" spans="1:12" ht="16.5">
      <c r="A215" s="78">
        <v>71</v>
      </c>
      <c r="B215" s="79"/>
      <c r="C215" s="106" t="e">
        <f t="shared" si="10"/>
        <v>#N/A</v>
      </c>
      <c r="D215" s="75" t="e">
        <f t="shared" si="11"/>
        <v>#N/A</v>
      </c>
      <c r="E215" s="80"/>
      <c r="F215" s="77"/>
      <c r="G215" s="130">
        <f t="shared" si="12"/>
        <v>126</v>
      </c>
      <c r="H215" s="132">
        <f t="shared" si="14"/>
        <v>46387</v>
      </c>
      <c r="I215" s="81" t="e">
        <f t="shared" si="13"/>
        <v>#N/A</v>
      </c>
      <c r="J215" s="83"/>
      <c r="K215" s="171">
        <f t="shared" si="15"/>
        <v>0</v>
      </c>
      <c r="L215" s="171"/>
    </row>
    <row r="216" spans="1:12" ht="16.5">
      <c r="A216" s="78">
        <v>72</v>
      </c>
      <c r="B216" s="79"/>
      <c r="C216" s="106" t="e">
        <f t="shared" si="10"/>
        <v>#N/A</v>
      </c>
      <c r="D216" s="75" t="e">
        <f t="shared" si="11"/>
        <v>#N/A</v>
      </c>
      <c r="E216" s="80"/>
      <c r="F216" s="77"/>
      <c r="G216" s="130">
        <f t="shared" si="12"/>
        <v>126</v>
      </c>
      <c r="H216" s="132">
        <f t="shared" si="14"/>
        <v>46387</v>
      </c>
      <c r="I216" s="81" t="e">
        <f t="shared" si="13"/>
        <v>#N/A</v>
      </c>
      <c r="J216" s="83"/>
      <c r="K216" s="171">
        <f t="shared" si="15"/>
        <v>0</v>
      </c>
      <c r="L216" s="171"/>
    </row>
    <row r="217" spans="1:12" ht="16.5">
      <c r="A217" s="78">
        <v>73</v>
      </c>
      <c r="B217" s="79"/>
      <c r="C217" s="106" t="e">
        <f t="shared" si="10"/>
        <v>#N/A</v>
      </c>
      <c r="D217" s="75" t="e">
        <f t="shared" si="11"/>
        <v>#N/A</v>
      </c>
      <c r="E217" s="80"/>
      <c r="F217" s="77"/>
      <c r="G217" s="130">
        <f t="shared" si="12"/>
        <v>126</v>
      </c>
      <c r="H217" s="132">
        <f t="shared" si="14"/>
        <v>46387</v>
      </c>
      <c r="I217" s="81" t="e">
        <f t="shared" si="13"/>
        <v>#N/A</v>
      </c>
      <c r="J217" s="83"/>
      <c r="K217" s="171">
        <f t="shared" si="15"/>
        <v>0</v>
      </c>
      <c r="L217" s="171"/>
    </row>
    <row r="218" spans="1:12" ht="16.5">
      <c r="A218" s="78">
        <v>74</v>
      </c>
      <c r="B218" s="79"/>
      <c r="C218" s="106" t="e">
        <f t="shared" si="10"/>
        <v>#N/A</v>
      </c>
      <c r="D218" s="75" t="e">
        <f t="shared" si="11"/>
        <v>#N/A</v>
      </c>
      <c r="E218" s="80"/>
      <c r="F218" s="77"/>
      <c r="G218" s="130">
        <f t="shared" si="12"/>
        <v>126</v>
      </c>
      <c r="H218" s="132">
        <f t="shared" si="14"/>
        <v>46387</v>
      </c>
      <c r="I218" s="81" t="e">
        <f t="shared" si="13"/>
        <v>#N/A</v>
      </c>
      <c r="J218" s="83"/>
      <c r="K218" s="171">
        <f t="shared" si="15"/>
        <v>0</v>
      </c>
      <c r="L218" s="171"/>
    </row>
    <row r="219" spans="1:12" ht="16.5">
      <c r="A219" s="78">
        <v>75</v>
      </c>
      <c r="B219" s="79"/>
      <c r="C219" s="106" t="e">
        <f t="shared" ref="C219:C244" si="16">VLOOKUP(B219,$M$16:$N$144,2,FALSE)</f>
        <v>#N/A</v>
      </c>
      <c r="D219" s="75" t="e">
        <f t="shared" ref="D219:D244" si="17">VLOOKUP(B219,$M$16:$O$144,3,FALSE)</f>
        <v>#N/A</v>
      </c>
      <c r="E219" s="80"/>
      <c r="F219" s="77"/>
      <c r="G219" s="130">
        <f t="shared" ref="G219:G244" si="18">DATEDIF(F219,H219,"Y")</f>
        <v>126</v>
      </c>
      <c r="H219" s="132">
        <f t="shared" si="14"/>
        <v>46387</v>
      </c>
      <c r="I219" s="81" t="e">
        <f t="shared" ref="I219:I244" si="19">VLOOKUP(G219,$P$16:$Q$144,2,FALSE)</f>
        <v>#N/A</v>
      </c>
      <c r="J219" s="83"/>
      <c r="K219" s="171">
        <f t="shared" si="15"/>
        <v>0</v>
      </c>
      <c r="L219" s="171"/>
    </row>
    <row r="220" spans="1:12" ht="16.5">
      <c r="A220" s="78">
        <v>76</v>
      </c>
      <c r="B220" s="79"/>
      <c r="C220" s="106" t="e">
        <f t="shared" si="16"/>
        <v>#N/A</v>
      </c>
      <c r="D220" s="75" t="e">
        <f t="shared" si="17"/>
        <v>#N/A</v>
      </c>
      <c r="E220" s="80"/>
      <c r="F220" s="77"/>
      <c r="G220" s="130">
        <f t="shared" si="18"/>
        <v>126</v>
      </c>
      <c r="H220" s="132">
        <f t="shared" si="14"/>
        <v>46387</v>
      </c>
      <c r="I220" s="81" t="e">
        <f t="shared" si="19"/>
        <v>#N/A</v>
      </c>
      <c r="J220" s="83"/>
      <c r="K220" s="171">
        <f t="shared" si="15"/>
        <v>0</v>
      </c>
      <c r="L220" s="171"/>
    </row>
    <row r="221" spans="1:12" ht="16.5">
      <c r="A221" s="78">
        <v>77</v>
      </c>
      <c r="B221" s="79"/>
      <c r="C221" s="106" t="e">
        <f t="shared" si="16"/>
        <v>#N/A</v>
      </c>
      <c r="D221" s="75" t="e">
        <f t="shared" si="17"/>
        <v>#N/A</v>
      </c>
      <c r="E221" s="80"/>
      <c r="F221" s="77"/>
      <c r="G221" s="130">
        <f t="shared" si="18"/>
        <v>126</v>
      </c>
      <c r="H221" s="132">
        <f t="shared" si="14"/>
        <v>46387</v>
      </c>
      <c r="I221" s="81" t="e">
        <f t="shared" si="19"/>
        <v>#N/A</v>
      </c>
      <c r="J221" s="83"/>
      <c r="K221" s="171">
        <f t="shared" si="15"/>
        <v>0</v>
      </c>
      <c r="L221" s="171"/>
    </row>
    <row r="222" spans="1:12" ht="16.5">
      <c r="A222" s="78">
        <v>78</v>
      </c>
      <c r="B222" s="79"/>
      <c r="C222" s="106" t="e">
        <f t="shared" si="16"/>
        <v>#N/A</v>
      </c>
      <c r="D222" s="75" t="e">
        <f t="shared" si="17"/>
        <v>#N/A</v>
      </c>
      <c r="E222" s="80"/>
      <c r="F222" s="77"/>
      <c r="G222" s="130">
        <f t="shared" si="18"/>
        <v>126</v>
      </c>
      <c r="H222" s="132">
        <f t="shared" si="14"/>
        <v>46387</v>
      </c>
      <c r="I222" s="81" t="e">
        <f t="shared" si="19"/>
        <v>#N/A</v>
      </c>
      <c r="J222" s="83"/>
      <c r="K222" s="171">
        <f t="shared" si="15"/>
        <v>0</v>
      </c>
      <c r="L222" s="171"/>
    </row>
    <row r="223" spans="1:12" ht="16.5">
      <c r="A223" s="78">
        <v>79</v>
      </c>
      <c r="B223" s="79"/>
      <c r="C223" s="106" t="e">
        <f t="shared" si="16"/>
        <v>#N/A</v>
      </c>
      <c r="D223" s="75" t="e">
        <f t="shared" si="17"/>
        <v>#N/A</v>
      </c>
      <c r="E223" s="80"/>
      <c r="F223" s="77"/>
      <c r="G223" s="130">
        <f t="shared" si="18"/>
        <v>126</v>
      </c>
      <c r="H223" s="132">
        <f t="shared" si="14"/>
        <v>46387</v>
      </c>
      <c r="I223" s="81" t="e">
        <f t="shared" si="19"/>
        <v>#N/A</v>
      </c>
      <c r="J223" s="83"/>
      <c r="K223" s="171">
        <f t="shared" si="15"/>
        <v>0</v>
      </c>
      <c r="L223" s="171"/>
    </row>
    <row r="224" spans="1:12" ht="16.5">
      <c r="A224" s="78">
        <v>80</v>
      </c>
      <c r="B224" s="79"/>
      <c r="C224" s="106" t="e">
        <f t="shared" si="16"/>
        <v>#N/A</v>
      </c>
      <c r="D224" s="75" t="e">
        <f t="shared" si="17"/>
        <v>#N/A</v>
      </c>
      <c r="E224" s="80"/>
      <c r="F224" s="77"/>
      <c r="G224" s="130">
        <f t="shared" si="18"/>
        <v>126</v>
      </c>
      <c r="H224" s="132">
        <f t="shared" si="14"/>
        <v>46387</v>
      </c>
      <c r="I224" s="81" t="e">
        <f t="shared" si="19"/>
        <v>#N/A</v>
      </c>
      <c r="J224" s="83"/>
      <c r="K224" s="171">
        <f t="shared" si="15"/>
        <v>0</v>
      </c>
      <c r="L224" s="171"/>
    </row>
    <row r="225" spans="1:12" ht="16.5">
      <c r="A225" s="78">
        <v>81</v>
      </c>
      <c r="B225" s="79"/>
      <c r="C225" s="106" t="e">
        <f t="shared" si="16"/>
        <v>#N/A</v>
      </c>
      <c r="D225" s="75" t="e">
        <f t="shared" si="17"/>
        <v>#N/A</v>
      </c>
      <c r="E225" s="80"/>
      <c r="F225" s="77"/>
      <c r="G225" s="130">
        <f t="shared" si="18"/>
        <v>126</v>
      </c>
      <c r="H225" s="132">
        <f t="shared" si="14"/>
        <v>46387</v>
      </c>
      <c r="I225" s="81" t="e">
        <f t="shared" si="19"/>
        <v>#N/A</v>
      </c>
      <c r="J225" s="83"/>
      <c r="K225" s="171">
        <f t="shared" si="15"/>
        <v>0</v>
      </c>
      <c r="L225" s="171"/>
    </row>
    <row r="226" spans="1:12" ht="16.5">
      <c r="A226" s="78">
        <v>82</v>
      </c>
      <c r="B226" s="79"/>
      <c r="C226" s="106" t="e">
        <f t="shared" si="16"/>
        <v>#N/A</v>
      </c>
      <c r="D226" s="75" t="e">
        <f t="shared" si="17"/>
        <v>#N/A</v>
      </c>
      <c r="E226" s="80"/>
      <c r="F226" s="77"/>
      <c r="G226" s="130">
        <f t="shared" si="18"/>
        <v>126</v>
      </c>
      <c r="H226" s="132">
        <f t="shared" si="14"/>
        <v>46387</v>
      </c>
      <c r="I226" s="81" t="e">
        <f t="shared" si="19"/>
        <v>#N/A</v>
      </c>
      <c r="J226" s="83"/>
      <c r="K226" s="171">
        <f t="shared" si="15"/>
        <v>0</v>
      </c>
      <c r="L226" s="171"/>
    </row>
    <row r="227" spans="1:12" ht="16.5">
      <c r="A227" s="78">
        <v>83</v>
      </c>
      <c r="B227" s="79"/>
      <c r="C227" s="106" t="e">
        <f t="shared" si="16"/>
        <v>#N/A</v>
      </c>
      <c r="D227" s="75" t="e">
        <f t="shared" si="17"/>
        <v>#N/A</v>
      </c>
      <c r="E227" s="80"/>
      <c r="F227" s="77"/>
      <c r="G227" s="130">
        <f t="shared" si="18"/>
        <v>126</v>
      </c>
      <c r="H227" s="132">
        <f t="shared" si="14"/>
        <v>46387</v>
      </c>
      <c r="I227" s="81" t="e">
        <f t="shared" si="19"/>
        <v>#N/A</v>
      </c>
      <c r="J227" s="83"/>
      <c r="K227" s="171">
        <f t="shared" si="15"/>
        <v>0</v>
      </c>
      <c r="L227" s="171"/>
    </row>
    <row r="228" spans="1:12" ht="16.5">
      <c r="A228" s="78">
        <v>84</v>
      </c>
      <c r="B228" s="79"/>
      <c r="C228" s="106" t="e">
        <f t="shared" si="16"/>
        <v>#N/A</v>
      </c>
      <c r="D228" s="75" t="e">
        <f t="shared" si="17"/>
        <v>#N/A</v>
      </c>
      <c r="E228" s="80"/>
      <c r="F228" s="77"/>
      <c r="G228" s="130">
        <f t="shared" si="18"/>
        <v>126</v>
      </c>
      <c r="H228" s="132">
        <f t="shared" si="14"/>
        <v>46387</v>
      </c>
      <c r="I228" s="81" t="e">
        <f t="shared" si="19"/>
        <v>#N/A</v>
      </c>
      <c r="J228" s="83"/>
      <c r="K228" s="171">
        <f t="shared" si="15"/>
        <v>0</v>
      </c>
      <c r="L228" s="171"/>
    </row>
    <row r="229" spans="1:12" ht="16.5">
      <c r="A229" s="78">
        <v>85</v>
      </c>
      <c r="B229" s="79"/>
      <c r="C229" s="106" t="e">
        <f t="shared" si="16"/>
        <v>#N/A</v>
      </c>
      <c r="D229" s="75" t="e">
        <f t="shared" si="17"/>
        <v>#N/A</v>
      </c>
      <c r="E229" s="80"/>
      <c r="F229" s="77"/>
      <c r="G229" s="130">
        <f t="shared" si="18"/>
        <v>126</v>
      </c>
      <c r="H229" s="132">
        <f t="shared" si="14"/>
        <v>46387</v>
      </c>
      <c r="I229" s="81" t="e">
        <f t="shared" si="19"/>
        <v>#N/A</v>
      </c>
      <c r="J229" s="83"/>
      <c r="K229" s="171">
        <f t="shared" si="15"/>
        <v>0</v>
      </c>
      <c r="L229" s="171"/>
    </row>
    <row r="230" spans="1:12" ht="16.5">
      <c r="A230" s="78">
        <v>86</v>
      </c>
      <c r="B230" s="79"/>
      <c r="C230" s="106" t="e">
        <f t="shared" si="16"/>
        <v>#N/A</v>
      </c>
      <c r="D230" s="75" t="e">
        <f t="shared" si="17"/>
        <v>#N/A</v>
      </c>
      <c r="E230" s="80"/>
      <c r="F230" s="77"/>
      <c r="G230" s="130">
        <f t="shared" si="18"/>
        <v>126</v>
      </c>
      <c r="H230" s="132">
        <f t="shared" si="14"/>
        <v>46387</v>
      </c>
      <c r="I230" s="81" t="e">
        <f t="shared" si="19"/>
        <v>#N/A</v>
      </c>
      <c r="J230" s="83"/>
      <c r="K230" s="171">
        <f t="shared" si="15"/>
        <v>0</v>
      </c>
      <c r="L230" s="171"/>
    </row>
    <row r="231" spans="1:12" ht="16.5">
      <c r="A231" s="78">
        <v>87</v>
      </c>
      <c r="B231" s="79"/>
      <c r="C231" s="106" t="e">
        <f t="shared" si="16"/>
        <v>#N/A</v>
      </c>
      <c r="D231" s="75" t="e">
        <f t="shared" si="17"/>
        <v>#N/A</v>
      </c>
      <c r="E231" s="80"/>
      <c r="F231" s="77"/>
      <c r="G231" s="130">
        <f t="shared" si="18"/>
        <v>126</v>
      </c>
      <c r="H231" s="132">
        <f t="shared" si="14"/>
        <v>46387</v>
      </c>
      <c r="I231" s="81" t="e">
        <f t="shared" si="19"/>
        <v>#N/A</v>
      </c>
      <c r="J231" s="83"/>
      <c r="K231" s="171">
        <f t="shared" si="15"/>
        <v>0</v>
      </c>
      <c r="L231" s="171"/>
    </row>
    <row r="232" spans="1:12" ht="16.5">
      <c r="A232" s="78">
        <v>88</v>
      </c>
      <c r="B232" s="79"/>
      <c r="C232" s="106" t="e">
        <f t="shared" si="16"/>
        <v>#N/A</v>
      </c>
      <c r="D232" s="75" t="e">
        <f t="shared" si="17"/>
        <v>#N/A</v>
      </c>
      <c r="E232" s="80"/>
      <c r="F232" s="77"/>
      <c r="G232" s="130">
        <f t="shared" si="18"/>
        <v>126</v>
      </c>
      <c r="H232" s="132">
        <f t="shared" si="14"/>
        <v>46387</v>
      </c>
      <c r="I232" s="81" t="e">
        <f t="shared" si="19"/>
        <v>#N/A</v>
      </c>
      <c r="J232" s="83"/>
      <c r="K232" s="171">
        <f t="shared" si="15"/>
        <v>0</v>
      </c>
      <c r="L232" s="171"/>
    </row>
    <row r="233" spans="1:12" ht="16.5">
      <c r="A233" s="78">
        <v>89</v>
      </c>
      <c r="B233" s="79"/>
      <c r="C233" s="106" t="e">
        <f t="shared" si="16"/>
        <v>#N/A</v>
      </c>
      <c r="D233" s="75" t="e">
        <f t="shared" si="17"/>
        <v>#N/A</v>
      </c>
      <c r="E233" s="80"/>
      <c r="F233" s="77"/>
      <c r="G233" s="130">
        <f t="shared" si="18"/>
        <v>126</v>
      </c>
      <c r="H233" s="132">
        <f t="shared" si="14"/>
        <v>46387</v>
      </c>
      <c r="I233" s="81" t="e">
        <f t="shared" si="19"/>
        <v>#N/A</v>
      </c>
      <c r="J233" s="83"/>
      <c r="K233" s="171">
        <f t="shared" si="15"/>
        <v>0</v>
      </c>
      <c r="L233" s="171"/>
    </row>
    <row r="234" spans="1:12" ht="16.5">
      <c r="A234" s="78">
        <v>90</v>
      </c>
      <c r="B234" s="79"/>
      <c r="C234" s="106" t="e">
        <f t="shared" si="16"/>
        <v>#N/A</v>
      </c>
      <c r="D234" s="75" t="e">
        <f t="shared" si="17"/>
        <v>#N/A</v>
      </c>
      <c r="E234" s="80"/>
      <c r="F234" s="77"/>
      <c r="G234" s="130">
        <f t="shared" si="18"/>
        <v>126</v>
      </c>
      <c r="H234" s="132">
        <f t="shared" si="14"/>
        <v>46387</v>
      </c>
      <c r="I234" s="81" t="e">
        <f t="shared" si="19"/>
        <v>#N/A</v>
      </c>
      <c r="J234" s="83"/>
      <c r="K234" s="171">
        <f t="shared" si="15"/>
        <v>0</v>
      </c>
      <c r="L234" s="171"/>
    </row>
    <row r="235" spans="1:12" ht="16.5">
      <c r="A235" s="78">
        <v>91</v>
      </c>
      <c r="B235" s="79"/>
      <c r="C235" s="106" t="e">
        <f t="shared" si="16"/>
        <v>#N/A</v>
      </c>
      <c r="D235" s="75" t="e">
        <f t="shared" si="17"/>
        <v>#N/A</v>
      </c>
      <c r="E235" s="80"/>
      <c r="F235" s="77"/>
      <c r="G235" s="130">
        <f t="shared" si="18"/>
        <v>126</v>
      </c>
      <c r="H235" s="132">
        <f t="shared" si="14"/>
        <v>46387</v>
      </c>
      <c r="I235" s="81" t="e">
        <f t="shared" si="19"/>
        <v>#N/A</v>
      </c>
      <c r="J235" s="83"/>
      <c r="K235" s="171">
        <f t="shared" si="15"/>
        <v>0</v>
      </c>
      <c r="L235" s="171"/>
    </row>
    <row r="236" spans="1:12" ht="16.5">
      <c r="A236" s="78">
        <v>92</v>
      </c>
      <c r="B236" s="79"/>
      <c r="C236" s="106" t="e">
        <f t="shared" si="16"/>
        <v>#N/A</v>
      </c>
      <c r="D236" s="75" t="e">
        <f t="shared" si="17"/>
        <v>#N/A</v>
      </c>
      <c r="E236" s="80"/>
      <c r="F236" s="77"/>
      <c r="G236" s="130">
        <f t="shared" si="18"/>
        <v>126</v>
      </c>
      <c r="H236" s="132">
        <f t="shared" si="14"/>
        <v>46387</v>
      </c>
      <c r="I236" s="81" t="e">
        <f t="shared" si="19"/>
        <v>#N/A</v>
      </c>
      <c r="J236" s="83"/>
      <c r="K236" s="171">
        <f t="shared" si="15"/>
        <v>0</v>
      </c>
      <c r="L236" s="171"/>
    </row>
    <row r="237" spans="1:12" ht="16.5">
      <c r="A237" s="78">
        <v>93</v>
      </c>
      <c r="B237" s="79"/>
      <c r="C237" s="106" t="e">
        <f t="shared" si="16"/>
        <v>#N/A</v>
      </c>
      <c r="D237" s="75" t="e">
        <f t="shared" si="17"/>
        <v>#N/A</v>
      </c>
      <c r="E237" s="80"/>
      <c r="F237" s="77"/>
      <c r="G237" s="130">
        <f t="shared" si="18"/>
        <v>126</v>
      </c>
      <c r="H237" s="132">
        <f t="shared" si="14"/>
        <v>46387</v>
      </c>
      <c r="I237" s="81" t="e">
        <f t="shared" si="19"/>
        <v>#N/A</v>
      </c>
      <c r="J237" s="83"/>
      <c r="K237" s="171">
        <f t="shared" si="15"/>
        <v>0</v>
      </c>
      <c r="L237" s="171"/>
    </row>
    <row r="238" spans="1:12" ht="16.5">
      <c r="A238" s="78">
        <v>94</v>
      </c>
      <c r="B238" s="79"/>
      <c r="C238" s="106" t="e">
        <f t="shared" si="16"/>
        <v>#N/A</v>
      </c>
      <c r="D238" s="75" t="e">
        <f t="shared" si="17"/>
        <v>#N/A</v>
      </c>
      <c r="E238" s="80"/>
      <c r="F238" s="77"/>
      <c r="G238" s="130">
        <f t="shared" si="18"/>
        <v>126</v>
      </c>
      <c r="H238" s="132">
        <f t="shared" si="14"/>
        <v>46387</v>
      </c>
      <c r="I238" s="81" t="e">
        <f t="shared" si="19"/>
        <v>#N/A</v>
      </c>
      <c r="J238" s="83"/>
      <c r="K238" s="171">
        <f t="shared" si="15"/>
        <v>0</v>
      </c>
      <c r="L238" s="171"/>
    </row>
    <row r="239" spans="1:12" ht="16.5">
      <c r="A239" s="78">
        <v>95</v>
      </c>
      <c r="B239" s="79"/>
      <c r="C239" s="106" t="e">
        <f t="shared" si="16"/>
        <v>#N/A</v>
      </c>
      <c r="D239" s="75" t="e">
        <f t="shared" si="17"/>
        <v>#N/A</v>
      </c>
      <c r="E239" s="80"/>
      <c r="F239" s="77"/>
      <c r="G239" s="130">
        <f t="shared" si="18"/>
        <v>126</v>
      </c>
      <c r="H239" s="132">
        <f t="shared" si="14"/>
        <v>46387</v>
      </c>
      <c r="I239" s="81" t="e">
        <f t="shared" si="19"/>
        <v>#N/A</v>
      </c>
      <c r="J239" s="83"/>
      <c r="K239" s="171">
        <f t="shared" si="15"/>
        <v>0</v>
      </c>
      <c r="L239" s="171"/>
    </row>
    <row r="240" spans="1:12" ht="16.5">
      <c r="A240" s="78">
        <v>96</v>
      </c>
      <c r="B240" s="79"/>
      <c r="C240" s="106" t="e">
        <f t="shared" si="16"/>
        <v>#N/A</v>
      </c>
      <c r="D240" s="75" t="e">
        <f t="shared" si="17"/>
        <v>#N/A</v>
      </c>
      <c r="E240" s="80"/>
      <c r="F240" s="77"/>
      <c r="G240" s="130">
        <f t="shared" si="18"/>
        <v>126</v>
      </c>
      <c r="H240" s="132">
        <f t="shared" si="14"/>
        <v>46387</v>
      </c>
      <c r="I240" s="81" t="e">
        <f t="shared" si="19"/>
        <v>#N/A</v>
      </c>
      <c r="J240" s="83"/>
      <c r="K240" s="171">
        <f t="shared" si="15"/>
        <v>0</v>
      </c>
      <c r="L240" s="171"/>
    </row>
    <row r="241" spans="1:12" ht="16.5">
      <c r="A241" s="78">
        <v>97</v>
      </c>
      <c r="B241" s="79"/>
      <c r="C241" s="106" t="e">
        <f t="shared" si="16"/>
        <v>#N/A</v>
      </c>
      <c r="D241" s="75" t="e">
        <f t="shared" si="17"/>
        <v>#N/A</v>
      </c>
      <c r="E241" s="80"/>
      <c r="F241" s="77"/>
      <c r="G241" s="130">
        <f t="shared" si="18"/>
        <v>126</v>
      </c>
      <c r="H241" s="132">
        <f t="shared" si="14"/>
        <v>46387</v>
      </c>
      <c r="I241" s="81" t="e">
        <f t="shared" si="19"/>
        <v>#N/A</v>
      </c>
      <c r="J241" s="83"/>
      <c r="K241" s="171">
        <f t="shared" si="15"/>
        <v>0</v>
      </c>
      <c r="L241" s="171"/>
    </row>
    <row r="242" spans="1:12" ht="16.5">
      <c r="A242" s="78">
        <v>98</v>
      </c>
      <c r="B242" s="79"/>
      <c r="C242" s="106" t="e">
        <f t="shared" si="16"/>
        <v>#N/A</v>
      </c>
      <c r="D242" s="75" t="e">
        <f t="shared" si="17"/>
        <v>#N/A</v>
      </c>
      <c r="E242" s="80"/>
      <c r="F242" s="77"/>
      <c r="G242" s="130">
        <f t="shared" si="18"/>
        <v>126</v>
      </c>
      <c r="H242" s="132">
        <f t="shared" si="14"/>
        <v>46387</v>
      </c>
      <c r="I242" s="81" t="e">
        <f t="shared" si="19"/>
        <v>#N/A</v>
      </c>
      <c r="J242" s="83"/>
      <c r="K242" s="171">
        <f t="shared" si="15"/>
        <v>0</v>
      </c>
      <c r="L242" s="171"/>
    </row>
    <row r="243" spans="1:12" ht="16.5">
      <c r="A243" s="78">
        <v>99</v>
      </c>
      <c r="B243" s="79"/>
      <c r="C243" s="106" t="e">
        <f t="shared" si="16"/>
        <v>#N/A</v>
      </c>
      <c r="D243" s="75" t="e">
        <f t="shared" si="17"/>
        <v>#N/A</v>
      </c>
      <c r="E243" s="80"/>
      <c r="F243" s="77"/>
      <c r="G243" s="130">
        <f t="shared" si="18"/>
        <v>126</v>
      </c>
      <c r="H243" s="132">
        <f t="shared" si="14"/>
        <v>46387</v>
      </c>
      <c r="I243" s="81" t="e">
        <f t="shared" si="19"/>
        <v>#N/A</v>
      </c>
      <c r="J243" s="83"/>
      <c r="K243" s="171">
        <f t="shared" si="15"/>
        <v>0</v>
      </c>
      <c r="L243" s="171"/>
    </row>
    <row r="244" spans="1:12" ht="16.5">
      <c r="A244" s="78">
        <v>100</v>
      </c>
      <c r="B244" s="79"/>
      <c r="C244" s="106" t="e">
        <f t="shared" si="16"/>
        <v>#N/A</v>
      </c>
      <c r="D244" s="75" t="e">
        <f t="shared" si="17"/>
        <v>#N/A</v>
      </c>
      <c r="E244" s="80"/>
      <c r="F244" s="77"/>
      <c r="G244" s="130">
        <f t="shared" si="18"/>
        <v>126</v>
      </c>
      <c r="H244" s="132">
        <f t="shared" si="14"/>
        <v>46387</v>
      </c>
      <c r="I244" s="81" t="e">
        <f t="shared" si="19"/>
        <v>#N/A</v>
      </c>
      <c r="J244" s="83"/>
      <c r="K244" s="171">
        <f t="shared" si="15"/>
        <v>0</v>
      </c>
      <c r="L244" s="171"/>
    </row>
  </sheetData>
  <sheetProtection algorithmName="SHA-512" hashValue="H6Ze1aPcNZJSflWM56wcEDfOW2/iAuFL1vDBjwn6u50OuxvTWX/GS8KHyjvwvlUCdhTlWO/ZXoj7F0WodpwifA==" saltValue="zivKIXcB++qDbee/2WqB2g==" spinCount="100000" sheet="1" objects="1" scenarios="1"/>
  <mergeCells count="116">
    <mergeCell ref="A1:L1"/>
    <mergeCell ref="A2:L2"/>
    <mergeCell ref="A3:L3"/>
    <mergeCell ref="A4:L4"/>
    <mergeCell ref="E7:F7"/>
    <mergeCell ref="E8:F8"/>
    <mergeCell ref="E9:F9"/>
    <mergeCell ref="E10:F10"/>
    <mergeCell ref="D11:F11"/>
    <mergeCell ref="A13:L13"/>
    <mergeCell ref="G14:I1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31:L231"/>
    <mergeCell ref="K232:L232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42:L242"/>
    <mergeCell ref="K243:L243"/>
    <mergeCell ref="K244:L244"/>
    <mergeCell ref="A14:A15"/>
    <mergeCell ref="B14:B15"/>
    <mergeCell ref="D14:D15"/>
    <mergeCell ref="J14:J15"/>
    <mergeCell ref="K14:L15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24:L224"/>
    <mergeCell ref="K225:L225"/>
    <mergeCell ref="K226:L226"/>
    <mergeCell ref="K227:L227"/>
    <mergeCell ref="K228:L228"/>
    <mergeCell ref="K229:L229"/>
    <mergeCell ref="K230:L230"/>
  </mergeCells>
  <phoneticPr fontId="57" type="noConversion"/>
  <printOptions horizontalCentered="1"/>
  <pageMargins left="0.15748031496063" right="0.15748031496063" top="0.35433070866141703" bottom="0.15748031496063" header="0.31496062992126" footer="0.31496062992126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C8F00"/>
  </sheetPr>
  <dimension ref="A1:T244"/>
  <sheetViews>
    <sheetView view="pageBreakPreview" topLeftCell="A4" zoomScale="60" zoomScaleNormal="100" workbookViewId="0">
      <selection activeCell="N149" sqref="N149"/>
    </sheetView>
  </sheetViews>
  <sheetFormatPr defaultColWidth="9" defaultRowHeight="15.75"/>
  <cols>
    <col min="1" max="1" width="5.42578125" customWidth="1"/>
    <col min="2" max="2" width="7.140625" style="26" customWidth="1"/>
    <col min="3" max="3" width="48.140625" customWidth="1"/>
    <col min="4" max="4" width="2.5703125" customWidth="1"/>
    <col min="5" max="5" width="32.140625" customWidth="1"/>
    <col min="6" max="6" width="15.140625" style="27" customWidth="1"/>
    <col min="7" max="7" width="5.140625" style="127" hidden="1" customWidth="1"/>
    <col min="8" max="8" width="14" style="127" hidden="1" customWidth="1"/>
    <col min="9" max="9" width="16.28515625" style="27" customWidth="1"/>
    <col min="10" max="10" width="9.42578125" style="26" customWidth="1"/>
    <col min="11" max="11" width="9.42578125" customWidth="1"/>
    <col min="12" max="12" width="14.7109375" customWidth="1"/>
    <col min="13" max="13" width="4.140625" style="29" customWidth="1"/>
    <col min="14" max="14" width="35" style="29" customWidth="1"/>
    <col min="15" max="15" width="2.140625" style="29" customWidth="1"/>
    <col min="16" max="16" width="2.7109375" style="25" customWidth="1"/>
    <col min="17" max="17" width="11.7109375" style="25" customWidth="1"/>
    <col min="18" max="18" width="4.42578125" style="30" customWidth="1"/>
    <col min="19" max="19" width="18" style="30" customWidth="1"/>
    <col min="20" max="20" width="9.140625" style="30"/>
  </cols>
  <sheetData>
    <row r="1" spans="1:20" s="22" customFormat="1" ht="22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R1" s="63"/>
    </row>
    <row r="2" spans="1:20" s="22" customFormat="1" ht="32.25" customHeight="1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R2" s="63"/>
    </row>
    <row r="3" spans="1:20" s="22" customFormat="1" ht="32.25" customHeight="1">
      <c r="A3" s="188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R3" s="63"/>
    </row>
    <row r="4" spans="1:20" s="22" customFormat="1" ht="75.75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R4" s="63"/>
    </row>
    <row r="5" spans="1:20" s="23" customFormat="1" ht="2.4500000000000002" customHeight="1" thickBot="1">
      <c r="A5" s="31"/>
      <c r="B5" s="31"/>
      <c r="C5" s="31"/>
      <c r="D5" s="32"/>
      <c r="E5" s="31"/>
      <c r="F5" s="33"/>
      <c r="G5" s="109"/>
      <c r="H5" s="109"/>
      <c r="I5" s="48"/>
      <c r="J5" s="49"/>
      <c r="K5" s="50"/>
      <c r="L5" s="31"/>
      <c r="M5" s="51"/>
      <c r="N5" s="51"/>
      <c r="O5" s="51"/>
      <c r="P5" s="52"/>
      <c r="Q5" s="52"/>
      <c r="R5" s="64"/>
      <c r="S5" s="64"/>
    </row>
    <row r="6" spans="1:20" ht="7.5" customHeight="1" thickBot="1">
      <c r="M6" s="51"/>
      <c r="N6" s="51"/>
      <c r="O6" s="51"/>
      <c r="P6" s="52"/>
      <c r="Q6" s="52"/>
      <c r="T6"/>
    </row>
    <row r="7" spans="1:20" s="24" customFormat="1" ht="19.5" customHeight="1">
      <c r="A7" s="35"/>
      <c r="B7" s="35"/>
      <c r="C7" s="36" t="s">
        <v>121</v>
      </c>
      <c r="D7" s="37" t="s">
        <v>122</v>
      </c>
      <c r="E7" s="190"/>
      <c r="F7" s="190"/>
      <c r="G7" s="128"/>
      <c r="H7" s="128"/>
      <c r="I7" s="147" t="s">
        <v>123</v>
      </c>
      <c r="J7" s="147" t="s">
        <v>124</v>
      </c>
      <c r="K7" s="148" t="s">
        <v>125</v>
      </c>
      <c r="L7" s="148" t="s">
        <v>126</v>
      </c>
      <c r="M7" s="55"/>
      <c r="N7" s="55"/>
      <c r="O7" s="55"/>
      <c r="P7" s="56"/>
      <c r="Q7" s="56"/>
      <c r="R7" s="65"/>
      <c r="S7" s="65"/>
    </row>
    <row r="8" spans="1:20" s="24" customFormat="1" ht="19.5" customHeight="1">
      <c r="A8" s="35"/>
      <c r="B8" s="35"/>
      <c r="C8" s="36" t="s">
        <v>127</v>
      </c>
      <c r="D8" s="37" t="s">
        <v>122</v>
      </c>
      <c r="E8" s="191"/>
      <c r="F8" s="191"/>
      <c r="G8" s="128"/>
      <c r="H8" s="128"/>
      <c r="I8" s="57" t="s">
        <v>128</v>
      </c>
      <c r="J8" s="154">
        <f>COUNTIFS(C$145:C$244, "&lt;&gt;*BEREGU*", D$145:D$244, "L")</f>
        <v>0</v>
      </c>
      <c r="K8" s="154">
        <f>COUNTIFS(C$145:C$244, "&lt;&gt;*BEREGU*", D$145:D$244, "P")</f>
        <v>0</v>
      </c>
      <c r="L8" s="149">
        <f>J8+K8</f>
        <v>0</v>
      </c>
      <c r="M8" s="55"/>
      <c r="N8" s="55"/>
      <c r="O8" s="55"/>
      <c r="P8" s="56"/>
      <c r="Q8" s="56"/>
      <c r="R8" s="65"/>
      <c r="S8" s="65"/>
    </row>
    <row r="9" spans="1:20" s="24" customFormat="1" ht="19.5" customHeight="1">
      <c r="A9" s="35"/>
      <c r="B9" s="35"/>
      <c r="C9" s="36" t="s">
        <v>129</v>
      </c>
      <c r="D9" s="37" t="s">
        <v>122</v>
      </c>
      <c r="E9" s="191"/>
      <c r="F9" s="191"/>
      <c r="G9" s="128"/>
      <c r="H9" s="128"/>
      <c r="I9" s="57" t="s">
        <v>225</v>
      </c>
      <c r="J9" s="154">
        <f>COUNTIFS(C$145:C$244, "*BEREGU*", D$145:D$244, "L")/3</f>
        <v>0</v>
      </c>
      <c r="K9" s="154">
        <f>COUNTIFS(C$145:C$244, "*BEREGU*", D$145:D$244, "P")/3</f>
        <v>0</v>
      </c>
      <c r="L9" s="149">
        <f>J9+K9</f>
        <v>0</v>
      </c>
      <c r="M9" s="55"/>
      <c r="N9" s="55"/>
      <c r="O9" s="55"/>
      <c r="P9" s="56"/>
      <c r="Q9" s="56"/>
      <c r="R9" s="65"/>
      <c r="S9" s="65"/>
    </row>
    <row r="10" spans="1:20" s="24" customFormat="1" ht="19.5" customHeight="1">
      <c r="A10" s="35"/>
      <c r="B10" s="35"/>
      <c r="C10" s="36" t="s">
        <v>130</v>
      </c>
      <c r="D10" s="37" t="s">
        <v>122</v>
      </c>
      <c r="E10" s="192"/>
      <c r="F10" s="192"/>
      <c r="G10" s="128"/>
      <c r="H10" s="128"/>
      <c r="I10" s="59"/>
      <c r="J10" s="97"/>
      <c r="K10" s="97"/>
      <c r="L10" s="146">
        <f>L8+L9</f>
        <v>0</v>
      </c>
      <c r="M10" s="55"/>
      <c r="N10" s="55"/>
      <c r="O10" s="55"/>
      <c r="P10" s="56"/>
      <c r="Q10" s="56"/>
      <c r="R10" s="65"/>
      <c r="S10" s="65"/>
    </row>
    <row r="11" spans="1:20" s="24" customFormat="1" ht="19.5" customHeight="1">
      <c r="A11" s="35"/>
      <c r="B11" s="35"/>
      <c r="D11" s="193"/>
      <c r="E11" s="193"/>
      <c r="F11" s="193"/>
      <c r="G11" s="128"/>
      <c r="H11" s="128"/>
      <c r="I11" s="59"/>
      <c r="J11" s="59"/>
      <c r="K11" s="59"/>
      <c r="M11" s="55"/>
      <c r="N11" s="55"/>
      <c r="O11" s="55"/>
      <c r="P11" s="56"/>
      <c r="Q11" s="56"/>
      <c r="R11" s="65"/>
      <c r="S11" s="65"/>
    </row>
    <row r="12" spans="1:20" ht="6.75" customHeight="1" thickBot="1">
      <c r="K12" s="26"/>
      <c r="M12" s="51"/>
      <c r="N12" s="51"/>
      <c r="O12" s="51"/>
      <c r="P12" s="52"/>
      <c r="Q12" s="52"/>
      <c r="T12"/>
    </row>
    <row r="13" spans="1:20" ht="28.5" customHeight="1" thickBot="1">
      <c r="A13" s="204" t="s">
        <v>151</v>
      </c>
      <c r="B13" s="205"/>
      <c r="C13" s="205"/>
      <c r="D13" s="205"/>
      <c r="E13" s="205"/>
      <c r="F13" s="205"/>
      <c r="G13" s="206"/>
      <c r="H13" s="206"/>
      <c r="I13" s="206"/>
      <c r="J13" s="205"/>
      <c r="K13" s="205"/>
      <c r="L13" s="207"/>
      <c r="M13" s="51"/>
      <c r="N13" s="51"/>
      <c r="O13" s="51"/>
      <c r="P13" s="52"/>
      <c r="Q13" s="52"/>
      <c r="T13"/>
    </row>
    <row r="14" spans="1:20" ht="14.25" customHeight="1">
      <c r="A14" s="194" t="s">
        <v>132</v>
      </c>
      <c r="B14" s="196" t="s">
        <v>133</v>
      </c>
      <c r="C14" s="39" t="s">
        <v>134</v>
      </c>
      <c r="D14" s="198" t="s">
        <v>152</v>
      </c>
      <c r="E14" s="40" t="s">
        <v>136</v>
      </c>
      <c r="F14" s="39" t="s">
        <v>137</v>
      </c>
      <c r="G14" s="203" t="s">
        <v>138</v>
      </c>
      <c r="H14" s="203"/>
      <c r="I14" s="203"/>
      <c r="J14" s="200" t="s">
        <v>139</v>
      </c>
      <c r="K14" s="202" t="s">
        <v>140</v>
      </c>
      <c r="L14" s="202"/>
      <c r="M14" s="51"/>
      <c r="N14" s="51"/>
      <c r="O14" s="51"/>
      <c r="P14" s="52"/>
      <c r="Q14" s="52"/>
      <c r="T14"/>
    </row>
    <row r="15" spans="1:20">
      <c r="A15" s="195"/>
      <c r="B15" s="197"/>
      <c r="C15" s="41" t="s">
        <v>141</v>
      </c>
      <c r="D15" s="199"/>
      <c r="E15" s="42" t="s">
        <v>142</v>
      </c>
      <c r="F15" s="43" t="s">
        <v>227</v>
      </c>
      <c r="G15" s="135"/>
      <c r="H15" s="135"/>
      <c r="I15" s="136" t="s">
        <v>141</v>
      </c>
      <c r="J15" s="201"/>
      <c r="K15" s="203"/>
      <c r="L15" s="203"/>
      <c r="M15" s="51"/>
      <c r="N15" s="51"/>
      <c r="O15" s="51"/>
      <c r="P15" s="52"/>
      <c r="Q15" s="52"/>
      <c r="T15"/>
    </row>
    <row r="16" spans="1:20" s="25" customFormat="1" ht="18.75" hidden="1">
      <c r="A16" s="28"/>
      <c r="B16" s="28"/>
      <c r="C16" s="44" t="e">
        <f t="shared" ref="C16:C41" si="0">VLOOKUP(B16,$M$16:$N$144,2,FALSE)</f>
        <v>#N/A</v>
      </c>
      <c r="D16" s="44"/>
      <c r="E16" s="45"/>
      <c r="F16" s="46">
        <v>41825</v>
      </c>
      <c r="G16" s="129">
        <f t="shared" ref="G16:G41" si="1">DATEDIF(F16,H16,"Y")</f>
        <v>12</v>
      </c>
      <c r="H16" s="131">
        <v>46387</v>
      </c>
      <c r="I16" s="60" t="str">
        <f t="shared" ref="I16:I41" si="2">VLOOKUP(G16,$P$16:$Q$144,2,FALSE)</f>
        <v>PEMULA</v>
      </c>
      <c r="J16" s="28"/>
      <c r="M16" s="61">
        <v>1</v>
      </c>
      <c r="N16" s="62" t="s">
        <v>5</v>
      </c>
      <c r="O16" s="56" t="s">
        <v>124</v>
      </c>
      <c r="P16" s="51">
        <v>3</v>
      </c>
      <c r="Q16" s="51" t="s">
        <v>143</v>
      </c>
    </row>
    <row r="17" spans="1:17" s="25" customFormat="1" ht="18.75" hidden="1">
      <c r="A17" s="28"/>
      <c r="B17" s="28"/>
      <c r="C17" s="44" t="e">
        <f t="shared" si="0"/>
        <v>#N/A</v>
      </c>
      <c r="D17" s="44"/>
      <c r="E17" s="45"/>
      <c r="F17" s="46"/>
      <c r="G17" s="129">
        <f>DATEDIF(F17,H17,"Y")</f>
        <v>126</v>
      </c>
      <c r="H17" s="131">
        <f>H16</f>
        <v>46387</v>
      </c>
      <c r="I17" s="60" t="e">
        <f t="shared" si="2"/>
        <v>#N/A</v>
      </c>
      <c r="J17" s="28"/>
      <c r="M17" s="61">
        <v>2</v>
      </c>
      <c r="N17" s="62" t="s">
        <v>7</v>
      </c>
      <c r="O17" s="56" t="s">
        <v>125</v>
      </c>
      <c r="P17" s="51">
        <v>4</v>
      </c>
      <c r="Q17" s="51" t="s">
        <v>143</v>
      </c>
    </row>
    <row r="18" spans="1:17" s="25" customFormat="1" ht="18.75" hidden="1">
      <c r="A18" s="28"/>
      <c r="B18" s="28"/>
      <c r="C18" s="44" t="e">
        <f t="shared" si="0"/>
        <v>#N/A</v>
      </c>
      <c r="D18" s="44"/>
      <c r="E18" s="45"/>
      <c r="F18" s="46"/>
      <c r="G18" s="129">
        <f>DATEDIF(F18,H18,"Y")</f>
        <v>126</v>
      </c>
      <c r="H18" s="131">
        <f t="shared" ref="H18:H41" si="3">H17</f>
        <v>46387</v>
      </c>
      <c r="I18" s="60" t="e">
        <f t="shared" si="2"/>
        <v>#N/A</v>
      </c>
      <c r="J18" s="28"/>
      <c r="M18" s="61">
        <v>3</v>
      </c>
      <c r="N18" s="62" t="s">
        <v>165</v>
      </c>
      <c r="O18" s="56" t="s">
        <v>124</v>
      </c>
      <c r="P18" s="51">
        <v>5</v>
      </c>
      <c r="Q18" s="51" t="s">
        <v>143</v>
      </c>
    </row>
    <row r="19" spans="1:17" s="25" customFormat="1" ht="18.75" hidden="1">
      <c r="A19" s="28"/>
      <c r="B19" s="28"/>
      <c r="C19" s="44" t="e">
        <f t="shared" si="0"/>
        <v>#N/A</v>
      </c>
      <c r="D19" s="44"/>
      <c r="E19" s="45"/>
      <c r="F19" s="46"/>
      <c r="G19" s="129">
        <f t="shared" si="1"/>
        <v>126</v>
      </c>
      <c r="H19" s="131">
        <f t="shared" si="3"/>
        <v>46387</v>
      </c>
      <c r="I19" s="60" t="e">
        <f t="shared" si="2"/>
        <v>#N/A</v>
      </c>
      <c r="J19" s="28"/>
      <c r="M19" s="61">
        <v>4</v>
      </c>
      <c r="N19" s="62" t="s">
        <v>166</v>
      </c>
      <c r="O19" s="128" t="s">
        <v>125</v>
      </c>
      <c r="P19" s="51">
        <v>6</v>
      </c>
      <c r="Q19" s="51" t="s">
        <v>143</v>
      </c>
    </row>
    <row r="20" spans="1:17" s="25" customFormat="1" ht="18.75" hidden="1">
      <c r="A20" s="28"/>
      <c r="B20" s="28"/>
      <c r="C20" s="44" t="e">
        <f t="shared" si="0"/>
        <v>#N/A</v>
      </c>
      <c r="D20" s="44"/>
      <c r="E20" s="45"/>
      <c r="F20" s="46"/>
      <c r="G20" s="129">
        <f t="shared" si="1"/>
        <v>126</v>
      </c>
      <c r="H20" s="131">
        <f t="shared" si="3"/>
        <v>46387</v>
      </c>
      <c r="I20" s="60" t="e">
        <f t="shared" si="2"/>
        <v>#N/A</v>
      </c>
      <c r="J20" s="28"/>
      <c r="M20" s="61">
        <v>5</v>
      </c>
      <c r="N20" s="62" t="s">
        <v>233</v>
      </c>
      <c r="O20" s="56" t="s">
        <v>124</v>
      </c>
      <c r="P20" s="51">
        <v>7</v>
      </c>
      <c r="Q20" s="51" t="s">
        <v>143</v>
      </c>
    </row>
    <row r="21" spans="1:17" s="25" customFormat="1" ht="18.75" hidden="1">
      <c r="A21" s="28"/>
      <c r="B21" s="28"/>
      <c r="C21" s="44" t="e">
        <f t="shared" si="0"/>
        <v>#N/A</v>
      </c>
      <c r="D21" s="44"/>
      <c r="E21" s="45"/>
      <c r="F21" s="46"/>
      <c r="G21" s="129">
        <f t="shared" si="1"/>
        <v>126</v>
      </c>
      <c r="H21" s="131">
        <f t="shared" si="3"/>
        <v>46387</v>
      </c>
      <c r="I21" s="60" t="e">
        <f t="shared" si="2"/>
        <v>#N/A</v>
      </c>
      <c r="J21" s="28"/>
      <c r="M21" s="61">
        <v>6</v>
      </c>
      <c r="N21" s="62" t="s">
        <v>234</v>
      </c>
      <c r="O21" s="128" t="s">
        <v>125</v>
      </c>
      <c r="P21" s="51">
        <v>8</v>
      </c>
      <c r="Q21" s="51" t="s">
        <v>144</v>
      </c>
    </row>
    <row r="22" spans="1:17" s="25" customFormat="1" ht="18.75" hidden="1">
      <c r="A22" s="28"/>
      <c r="B22" s="28"/>
      <c r="C22" s="44" t="e">
        <f t="shared" si="0"/>
        <v>#N/A</v>
      </c>
      <c r="D22" s="44"/>
      <c r="E22" s="45"/>
      <c r="F22" s="46"/>
      <c r="G22" s="129">
        <f t="shared" si="1"/>
        <v>126</v>
      </c>
      <c r="H22" s="131">
        <f t="shared" si="3"/>
        <v>46387</v>
      </c>
      <c r="I22" s="60" t="e">
        <f t="shared" si="2"/>
        <v>#N/A</v>
      </c>
      <c r="J22" s="28"/>
      <c r="M22" s="61">
        <v>7</v>
      </c>
      <c r="N22" s="62" t="s">
        <v>13</v>
      </c>
      <c r="O22" s="128" t="s">
        <v>124</v>
      </c>
      <c r="P22" s="51">
        <v>9</v>
      </c>
      <c r="Q22" s="51" t="s">
        <v>144</v>
      </c>
    </row>
    <row r="23" spans="1:17" s="25" customFormat="1" ht="18.75" hidden="1">
      <c r="A23" s="28"/>
      <c r="B23" s="28"/>
      <c r="C23" s="44" t="e">
        <f t="shared" si="0"/>
        <v>#N/A</v>
      </c>
      <c r="D23" s="44"/>
      <c r="E23" s="45"/>
      <c r="F23" s="46"/>
      <c r="G23" s="129">
        <f t="shared" si="1"/>
        <v>126</v>
      </c>
      <c r="H23" s="131">
        <f t="shared" si="3"/>
        <v>46387</v>
      </c>
      <c r="I23" s="60" t="e">
        <f t="shared" si="2"/>
        <v>#N/A</v>
      </c>
      <c r="J23" s="28"/>
      <c r="M23" s="61">
        <v>8</v>
      </c>
      <c r="N23" s="62" t="s">
        <v>15</v>
      </c>
      <c r="O23" s="128" t="s">
        <v>125</v>
      </c>
      <c r="P23" s="51">
        <v>10</v>
      </c>
      <c r="Q23" s="51" t="s">
        <v>145</v>
      </c>
    </row>
    <row r="24" spans="1:17" s="25" customFormat="1" ht="18.75" hidden="1">
      <c r="A24" s="28"/>
      <c r="B24" s="28"/>
      <c r="C24" s="44" t="e">
        <f t="shared" si="0"/>
        <v>#N/A</v>
      </c>
      <c r="D24" s="44"/>
      <c r="E24" s="45"/>
      <c r="F24" s="46"/>
      <c r="G24" s="129">
        <f t="shared" si="1"/>
        <v>126</v>
      </c>
      <c r="H24" s="131">
        <f t="shared" si="3"/>
        <v>46387</v>
      </c>
      <c r="I24" s="60" t="e">
        <f t="shared" si="2"/>
        <v>#N/A</v>
      </c>
      <c r="J24" s="28"/>
      <c r="M24" s="61">
        <v>9</v>
      </c>
      <c r="N24" s="62" t="s">
        <v>20</v>
      </c>
      <c r="O24" s="128" t="s">
        <v>124</v>
      </c>
      <c r="P24" s="51">
        <v>11</v>
      </c>
      <c r="Q24" s="51" t="s">
        <v>145</v>
      </c>
    </row>
    <row r="25" spans="1:17" s="25" customFormat="1" ht="18.75" hidden="1">
      <c r="A25" s="28"/>
      <c r="B25" s="28"/>
      <c r="C25" s="44" t="e">
        <f t="shared" si="0"/>
        <v>#N/A</v>
      </c>
      <c r="D25" s="44"/>
      <c r="E25" s="45"/>
      <c r="F25" s="46"/>
      <c r="G25" s="129">
        <f t="shared" si="1"/>
        <v>126</v>
      </c>
      <c r="H25" s="131">
        <f t="shared" si="3"/>
        <v>46387</v>
      </c>
      <c r="I25" s="60" t="e">
        <f t="shared" si="2"/>
        <v>#N/A</v>
      </c>
      <c r="J25" s="28"/>
      <c r="M25" s="61">
        <v>10</v>
      </c>
      <c r="N25" s="62" t="s">
        <v>22</v>
      </c>
      <c r="O25" s="128" t="s">
        <v>124</v>
      </c>
      <c r="P25" s="51">
        <v>12</v>
      </c>
      <c r="Q25" s="51" t="s">
        <v>146</v>
      </c>
    </row>
    <row r="26" spans="1:17" s="25" customFormat="1" ht="18.75" hidden="1">
      <c r="A26" s="28"/>
      <c r="B26" s="28"/>
      <c r="C26" s="44" t="e">
        <f t="shared" si="0"/>
        <v>#N/A</v>
      </c>
      <c r="D26" s="44"/>
      <c r="E26" s="45"/>
      <c r="F26" s="46"/>
      <c r="G26" s="129">
        <f t="shared" si="1"/>
        <v>126</v>
      </c>
      <c r="H26" s="131">
        <f t="shared" si="3"/>
        <v>46387</v>
      </c>
      <c r="I26" s="60" t="e">
        <f t="shared" si="2"/>
        <v>#N/A</v>
      </c>
      <c r="J26" s="28"/>
      <c r="M26" s="61">
        <v>11</v>
      </c>
      <c r="N26" s="62" t="s">
        <v>24</v>
      </c>
      <c r="O26" s="128" t="s">
        <v>125</v>
      </c>
      <c r="P26" s="51">
        <v>13</v>
      </c>
      <c r="Q26" s="51" t="s">
        <v>146</v>
      </c>
    </row>
    <row r="27" spans="1:17" s="25" customFormat="1" ht="18.75" hidden="1">
      <c r="A27" s="28"/>
      <c r="B27" s="28"/>
      <c r="C27" s="44" t="e">
        <f t="shared" si="0"/>
        <v>#N/A</v>
      </c>
      <c r="D27" s="44"/>
      <c r="E27" s="45"/>
      <c r="F27" s="46"/>
      <c r="G27" s="129">
        <f t="shared" si="1"/>
        <v>126</v>
      </c>
      <c r="H27" s="131">
        <f t="shared" si="3"/>
        <v>46387</v>
      </c>
      <c r="I27" s="60" t="e">
        <f t="shared" si="2"/>
        <v>#N/A</v>
      </c>
      <c r="J27" s="28"/>
      <c r="M27" s="61">
        <v>12</v>
      </c>
      <c r="N27" s="62" t="s">
        <v>167</v>
      </c>
      <c r="O27" s="128" t="s">
        <v>125</v>
      </c>
      <c r="P27" s="51">
        <v>14</v>
      </c>
      <c r="Q27" s="51" t="s">
        <v>147</v>
      </c>
    </row>
    <row r="28" spans="1:17" s="25" customFormat="1" ht="18.75" hidden="1">
      <c r="A28" s="28"/>
      <c r="B28" s="28"/>
      <c r="C28" s="44" t="e">
        <f t="shared" si="0"/>
        <v>#N/A</v>
      </c>
      <c r="D28" s="44"/>
      <c r="E28" s="45"/>
      <c r="F28" s="46"/>
      <c r="G28" s="129">
        <f t="shared" si="1"/>
        <v>126</v>
      </c>
      <c r="H28" s="131">
        <f t="shared" si="3"/>
        <v>46387</v>
      </c>
      <c r="I28" s="60" t="e">
        <f t="shared" si="2"/>
        <v>#N/A</v>
      </c>
      <c r="J28" s="28"/>
      <c r="M28" s="61">
        <v>13</v>
      </c>
      <c r="N28" s="62" t="s">
        <v>28</v>
      </c>
      <c r="O28" s="56" t="s">
        <v>124</v>
      </c>
      <c r="P28" s="51">
        <v>15</v>
      </c>
      <c r="Q28" s="51" t="s">
        <v>147</v>
      </c>
    </row>
    <row r="29" spans="1:17" s="25" customFormat="1" ht="18.75" hidden="1">
      <c r="A29" s="28"/>
      <c r="B29" s="28"/>
      <c r="C29" s="44" t="e">
        <f t="shared" si="0"/>
        <v>#N/A</v>
      </c>
      <c r="D29" s="44"/>
      <c r="E29" s="45"/>
      <c r="F29" s="46"/>
      <c r="G29" s="129">
        <f t="shared" si="1"/>
        <v>126</v>
      </c>
      <c r="H29" s="131">
        <f t="shared" si="3"/>
        <v>46387</v>
      </c>
      <c r="I29" s="60" t="e">
        <f t="shared" si="2"/>
        <v>#N/A</v>
      </c>
      <c r="J29" s="28"/>
      <c r="M29" s="61">
        <v>14</v>
      </c>
      <c r="N29" s="62" t="s">
        <v>30</v>
      </c>
      <c r="O29" s="128" t="s">
        <v>125</v>
      </c>
      <c r="P29" s="51">
        <v>16</v>
      </c>
      <c r="Q29" s="51" t="s">
        <v>148</v>
      </c>
    </row>
    <row r="30" spans="1:17" s="25" customFormat="1" ht="18.75" hidden="1">
      <c r="A30" s="28"/>
      <c r="B30" s="28"/>
      <c r="C30" s="44" t="e">
        <f t="shared" si="0"/>
        <v>#N/A</v>
      </c>
      <c r="D30" s="44"/>
      <c r="E30" s="45"/>
      <c r="F30" s="46"/>
      <c r="G30" s="129">
        <f t="shared" si="1"/>
        <v>126</v>
      </c>
      <c r="H30" s="131">
        <f t="shared" si="3"/>
        <v>46387</v>
      </c>
      <c r="I30" s="60" t="e">
        <f t="shared" si="2"/>
        <v>#N/A</v>
      </c>
      <c r="J30" s="28"/>
      <c r="M30" s="61">
        <v>15</v>
      </c>
      <c r="N30" s="62" t="s">
        <v>32</v>
      </c>
      <c r="O30" s="128" t="s">
        <v>124</v>
      </c>
      <c r="P30" s="51">
        <v>17</v>
      </c>
      <c r="Q30" s="51" t="s">
        <v>148</v>
      </c>
    </row>
    <row r="31" spans="1:17" s="25" customFormat="1" ht="18.75" hidden="1">
      <c r="A31" s="28"/>
      <c r="B31" s="28"/>
      <c r="C31" s="44" t="e">
        <f t="shared" si="0"/>
        <v>#N/A</v>
      </c>
      <c r="D31" s="44"/>
      <c r="E31" s="45"/>
      <c r="F31" s="46"/>
      <c r="G31" s="129">
        <f t="shared" si="1"/>
        <v>126</v>
      </c>
      <c r="H31" s="131">
        <f t="shared" si="3"/>
        <v>46387</v>
      </c>
      <c r="I31" s="60" t="e">
        <f t="shared" si="2"/>
        <v>#N/A</v>
      </c>
      <c r="J31" s="28"/>
      <c r="M31" s="61">
        <v>16</v>
      </c>
      <c r="N31" s="62" t="s">
        <v>34</v>
      </c>
      <c r="O31" s="128" t="s">
        <v>125</v>
      </c>
      <c r="P31" s="51">
        <v>18</v>
      </c>
      <c r="Q31" s="51" t="s">
        <v>149</v>
      </c>
    </row>
    <row r="32" spans="1:17" s="25" customFormat="1" ht="18.75" hidden="1">
      <c r="A32" s="28"/>
      <c r="B32" s="28"/>
      <c r="C32" s="44" t="e">
        <f t="shared" si="0"/>
        <v>#N/A</v>
      </c>
      <c r="D32" s="44"/>
      <c r="E32" s="45"/>
      <c r="F32" s="46"/>
      <c r="G32" s="129">
        <f t="shared" si="1"/>
        <v>126</v>
      </c>
      <c r="H32" s="131">
        <f t="shared" si="3"/>
        <v>46387</v>
      </c>
      <c r="I32" s="60" t="e">
        <f t="shared" si="2"/>
        <v>#N/A</v>
      </c>
      <c r="J32" s="28"/>
      <c r="M32" s="61">
        <v>17</v>
      </c>
      <c r="N32" s="62" t="s">
        <v>168</v>
      </c>
      <c r="O32" s="128" t="s">
        <v>124</v>
      </c>
      <c r="P32" s="51">
        <v>19</v>
      </c>
      <c r="Q32" s="51" t="s">
        <v>149</v>
      </c>
    </row>
    <row r="33" spans="1:17" s="25" customFormat="1" ht="18.75" hidden="1">
      <c r="A33" s="28"/>
      <c r="B33" s="28"/>
      <c r="C33" s="44" t="e">
        <f t="shared" si="0"/>
        <v>#N/A</v>
      </c>
      <c r="D33" s="44"/>
      <c r="E33" s="45"/>
      <c r="F33" s="46"/>
      <c r="G33" s="129">
        <f t="shared" si="1"/>
        <v>126</v>
      </c>
      <c r="H33" s="131">
        <f t="shared" si="3"/>
        <v>46387</v>
      </c>
      <c r="I33" s="60" t="e">
        <f t="shared" si="2"/>
        <v>#N/A</v>
      </c>
      <c r="J33" s="28"/>
      <c r="M33" s="61">
        <v>18</v>
      </c>
      <c r="N33" s="62" t="s">
        <v>36</v>
      </c>
      <c r="O33" s="128" t="s">
        <v>124</v>
      </c>
      <c r="P33" s="51">
        <v>20</v>
      </c>
      <c r="Q33" s="51" t="s">
        <v>149</v>
      </c>
    </row>
    <row r="34" spans="1:17" s="25" customFormat="1" ht="18.75" hidden="1">
      <c r="A34" s="28"/>
      <c r="B34" s="28"/>
      <c r="C34" s="44" t="e">
        <f t="shared" si="0"/>
        <v>#N/A</v>
      </c>
      <c r="D34" s="44"/>
      <c r="E34" s="45"/>
      <c r="F34" s="46"/>
      <c r="G34" s="129">
        <f t="shared" si="1"/>
        <v>126</v>
      </c>
      <c r="H34" s="131">
        <f t="shared" si="3"/>
        <v>46387</v>
      </c>
      <c r="I34" s="60" t="e">
        <f t="shared" si="2"/>
        <v>#N/A</v>
      </c>
      <c r="J34" s="28"/>
      <c r="M34" s="61">
        <v>19</v>
      </c>
      <c r="N34" s="62" t="s">
        <v>38</v>
      </c>
      <c r="O34" s="128" t="s">
        <v>124</v>
      </c>
      <c r="P34" s="51">
        <v>21</v>
      </c>
      <c r="Q34" s="51" t="s">
        <v>149</v>
      </c>
    </row>
    <row r="35" spans="1:17" s="25" customFormat="1" ht="18.75" hidden="1">
      <c r="A35" s="28"/>
      <c r="B35" s="28"/>
      <c r="C35" s="44" t="e">
        <f t="shared" si="0"/>
        <v>#N/A</v>
      </c>
      <c r="D35" s="44"/>
      <c r="E35" s="45"/>
      <c r="F35" s="46"/>
      <c r="G35" s="129">
        <f t="shared" si="1"/>
        <v>126</v>
      </c>
      <c r="H35" s="131">
        <f t="shared" si="3"/>
        <v>46387</v>
      </c>
      <c r="I35" s="60" t="e">
        <f t="shared" si="2"/>
        <v>#N/A</v>
      </c>
      <c r="J35" s="28"/>
      <c r="M35" s="61">
        <v>20</v>
      </c>
      <c r="N35" s="62" t="s">
        <v>169</v>
      </c>
      <c r="O35" s="128" t="s">
        <v>125</v>
      </c>
      <c r="P35" s="51">
        <v>22</v>
      </c>
      <c r="Q35" s="51" t="s">
        <v>150</v>
      </c>
    </row>
    <row r="36" spans="1:17" s="25" customFormat="1" ht="18.75" hidden="1">
      <c r="A36" s="28"/>
      <c r="B36" s="28"/>
      <c r="C36" s="44" t="e">
        <f t="shared" si="0"/>
        <v>#N/A</v>
      </c>
      <c r="D36" s="44"/>
      <c r="E36" s="45"/>
      <c r="F36" s="46"/>
      <c r="G36" s="129">
        <f t="shared" si="1"/>
        <v>126</v>
      </c>
      <c r="H36" s="131">
        <f t="shared" si="3"/>
        <v>46387</v>
      </c>
      <c r="I36" s="60" t="e">
        <f t="shared" si="2"/>
        <v>#N/A</v>
      </c>
      <c r="J36" s="28"/>
      <c r="M36" s="61">
        <v>21</v>
      </c>
      <c r="N36" s="62" t="s">
        <v>41</v>
      </c>
      <c r="O36" s="128" t="s">
        <v>125</v>
      </c>
      <c r="P36" s="51">
        <v>23</v>
      </c>
      <c r="Q36" s="51" t="s">
        <v>150</v>
      </c>
    </row>
    <row r="37" spans="1:17" s="25" customFormat="1" ht="18.75" hidden="1">
      <c r="A37" s="28"/>
      <c r="B37" s="28"/>
      <c r="C37" s="44" t="e">
        <f t="shared" si="0"/>
        <v>#N/A</v>
      </c>
      <c r="D37" s="44"/>
      <c r="E37" s="45"/>
      <c r="F37" s="46"/>
      <c r="G37" s="129">
        <f t="shared" si="1"/>
        <v>126</v>
      </c>
      <c r="H37" s="131">
        <f t="shared" si="3"/>
        <v>46387</v>
      </c>
      <c r="I37" s="60" t="e">
        <f t="shared" si="2"/>
        <v>#N/A</v>
      </c>
      <c r="J37" s="28"/>
      <c r="M37" s="61">
        <v>22</v>
      </c>
      <c r="N37" s="62" t="s">
        <v>43</v>
      </c>
      <c r="O37" s="128" t="s">
        <v>125</v>
      </c>
      <c r="P37" s="51">
        <v>24</v>
      </c>
      <c r="Q37" s="51" t="s">
        <v>150</v>
      </c>
    </row>
    <row r="38" spans="1:17" s="25" customFormat="1" ht="18.75" hidden="1">
      <c r="A38" s="28"/>
      <c r="B38" s="28"/>
      <c r="C38" s="44" t="e">
        <f t="shared" si="0"/>
        <v>#N/A</v>
      </c>
      <c r="D38" s="44"/>
      <c r="E38" s="45"/>
      <c r="F38" s="46"/>
      <c r="G38" s="129">
        <f t="shared" si="1"/>
        <v>126</v>
      </c>
      <c r="H38" s="131">
        <f t="shared" si="3"/>
        <v>46387</v>
      </c>
      <c r="I38" s="60" t="e">
        <f t="shared" si="2"/>
        <v>#N/A</v>
      </c>
      <c r="J38" s="28"/>
      <c r="M38" s="61">
        <v>23</v>
      </c>
      <c r="N38" s="62" t="s">
        <v>45</v>
      </c>
      <c r="O38" s="56" t="s">
        <v>124</v>
      </c>
      <c r="P38" s="51">
        <v>25</v>
      </c>
      <c r="Q38" s="51" t="s">
        <v>150</v>
      </c>
    </row>
    <row r="39" spans="1:17" s="25" customFormat="1" ht="18.75" hidden="1">
      <c r="A39" s="28"/>
      <c r="B39" s="28"/>
      <c r="C39" s="44" t="e">
        <f t="shared" si="0"/>
        <v>#N/A</v>
      </c>
      <c r="D39" s="44"/>
      <c r="E39" s="45"/>
      <c r="F39" s="46"/>
      <c r="G39" s="129">
        <f t="shared" si="1"/>
        <v>126</v>
      </c>
      <c r="H39" s="131">
        <f t="shared" si="3"/>
        <v>46387</v>
      </c>
      <c r="I39" s="60" t="e">
        <f t="shared" si="2"/>
        <v>#N/A</v>
      </c>
      <c r="J39" s="28"/>
      <c r="M39" s="61">
        <v>24</v>
      </c>
      <c r="N39" s="62" t="s">
        <v>47</v>
      </c>
      <c r="O39" s="128" t="s">
        <v>125</v>
      </c>
      <c r="P39" s="51">
        <v>26</v>
      </c>
      <c r="Q39" s="51" t="s">
        <v>150</v>
      </c>
    </row>
    <row r="40" spans="1:17" s="25" customFormat="1" ht="18.75" hidden="1">
      <c r="A40" s="28"/>
      <c r="B40" s="28"/>
      <c r="C40" s="44" t="e">
        <f t="shared" si="0"/>
        <v>#N/A</v>
      </c>
      <c r="D40" s="44"/>
      <c r="E40" s="45"/>
      <c r="F40" s="46"/>
      <c r="G40" s="129">
        <f t="shared" si="1"/>
        <v>126</v>
      </c>
      <c r="H40" s="131">
        <f t="shared" si="3"/>
        <v>46387</v>
      </c>
      <c r="I40" s="60" t="e">
        <f t="shared" si="2"/>
        <v>#N/A</v>
      </c>
      <c r="J40" s="28"/>
      <c r="M40" s="61">
        <v>25</v>
      </c>
      <c r="N40" s="62" t="s">
        <v>49</v>
      </c>
      <c r="O40" s="128" t="s">
        <v>124</v>
      </c>
      <c r="P40" s="51">
        <v>27</v>
      </c>
      <c r="Q40" s="51" t="s">
        <v>150</v>
      </c>
    </row>
    <row r="41" spans="1:17" s="25" customFormat="1" ht="18.75" hidden="1">
      <c r="A41" s="28"/>
      <c r="B41" s="28"/>
      <c r="C41" s="44" t="e">
        <f t="shared" si="0"/>
        <v>#N/A</v>
      </c>
      <c r="D41" s="44"/>
      <c r="E41" s="45"/>
      <c r="F41" s="46"/>
      <c r="G41" s="129">
        <f t="shared" si="1"/>
        <v>126</v>
      </c>
      <c r="H41" s="131">
        <f t="shared" si="3"/>
        <v>46387</v>
      </c>
      <c r="I41" s="60" t="e">
        <f t="shared" si="2"/>
        <v>#N/A</v>
      </c>
      <c r="J41" s="28"/>
      <c r="M41" s="61">
        <v>26</v>
      </c>
      <c r="N41" s="62" t="s">
        <v>51</v>
      </c>
      <c r="O41" s="56" t="s">
        <v>125</v>
      </c>
      <c r="P41" s="51">
        <v>28</v>
      </c>
      <c r="Q41" s="51" t="s">
        <v>150</v>
      </c>
    </row>
    <row r="42" spans="1:17" s="25" customFormat="1" ht="18.75" hidden="1">
      <c r="A42" s="28"/>
      <c r="B42" s="28"/>
      <c r="C42" s="44"/>
      <c r="D42" s="44"/>
      <c r="E42" s="45"/>
      <c r="F42" s="46"/>
      <c r="G42" s="129"/>
      <c r="H42" s="131"/>
      <c r="I42" s="60"/>
      <c r="J42" s="28"/>
      <c r="M42" s="61">
        <v>27</v>
      </c>
      <c r="N42" s="62" t="s">
        <v>53</v>
      </c>
      <c r="O42" s="56" t="s">
        <v>124</v>
      </c>
      <c r="P42" s="51">
        <v>29</v>
      </c>
      <c r="Q42" s="51" t="s">
        <v>150</v>
      </c>
    </row>
    <row r="43" spans="1:17" s="25" customFormat="1" ht="18.75" hidden="1">
      <c r="A43" s="28"/>
      <c r="B43" s="28"/>
      <c r="C43" s="44"/>
      <c r="D43" s="44"/>
      <c r="E43" s="45"/>
      <c r="F43" s="46"/>
      <c r="G43" s="129"/>
      <c r="H43" s="131"/>
      <c r="I43" s="60"/>
      <c r="J43" s="28"/>
      <c r="M43" s="61">
        <v>28</v>
      </c>
      <c r="N43" s="62" t="s">
        <v>55</v>
      </c>
      <c r="O43" s="128" t="s">
        <v>124</v>
      </c>
      <c r="P43" s="51">
        <v>30</v>
      </c>
      <c r="Q43" s="51" t="s">
        <v>150</v>
      </c>
    </row>
    <row r="44" spans="1:17" s="25" customFormat="1" ht="18.75" hidden="1">
      <c r="A44" s="28"/>
      <c r="B44" s="28"/>
      <c r="C44" s="44"/>
      <c r="D44" s="44"/>
      <c r="E44" s="45"/>
      <c r="F44" s="46"/>
      <c r="G44" s="129"/>
      <c r="H44" s="131"/>
      <c r="I44" s="60"/>
      <c r="J44" s="28"/>
      <c r="M44" s="61">
        <v>29</v>
      </c>
      <c r="N44" s="62" t="s">
        <v>57</v>
      </c>
      <c r="O44" s="56" t="s">
        <v>124</v>
      </c>
      <c r="P44" s="51">
        <v>31</v>
      </c>
      <c r="Q44" s="51" t="s">
        <v>150</v>
      </c>
    </row>
    <row r="45" spans="1:17" s="25" customFormat="1" ht="18.75" hidden="1">
      <c r="A45" s="28"/>
      <c r="B45" s="28"/>
      <c r="C45" s="44"/>
      <c r="D45" s="44"/>
      <c r="E45" s="45"/>
      <c r="F45" s="46"/>
      <c r="G45" s="129"/>
      <c r="H45" s="131"/>
      <c r="I45" s="60"/>
      <c r="J45" s="28"/>
      <c r="M45" s="61">
        <v>30</v>
      </c>
      <c r="N45" s="62" t="s">
        <v>170</v>
      </c>
      <c r="O45" s="128" t="s">
        <v>124</v>
      </c>
      <c r="P45" s="51">
        <v>32</v>
      </c>
      <c r="Q45" s="51" t="s">
        <v>150</v>
      </c>
    </row>
    <row r="46" spans="1:17" s="25" customFormat="1" ht="18.75" hidden="1">
      <c r="A46" s="28"/>
      <c r="B46" s="28"/>
      <c r="C46" s="44"/>
      <c r="D46" s="44"/>
      <c r="E46" s="45"/>
      <c r="F46" s="46"/>
      <c r="G46" s="129"/>
      <c r="H46" s="131"/>
      <c r="I46" s="60"/>
      <c r="J46" s="28"/>
      <c r="M46" s="61">
        <v>31</v>
      </c>
      <c r="N46" s="62" t="s">
        <v>171</v>
      </c>
      <c r="O46" s="56" t="s">
        <v>124</v>
      </c>
      <c r="P46" s="51">
        <v>33</v>
      </c>
      <c r="Q46" s="51" t="s">
        <v>150</v>
      </c>
    </row>
    <row r="47" spans="1:17" s="25" customFormat="1" ht="18.75" hidden="1">
      <c r="A47" s="28"/>
      <c r="B47" s="28"/>
      <c r="C47" s="44"/>
      <c r="D47" s="44"/>
      <c r="E47" s="45"/>
      <c r="F47" s="46"/>
      <c r="G47" s="129"/>
      <c r="H47" s="131"/>
      <c r="I47" s="60"/>
      <c r="J47" s="28"/>
      <c r="M47" s="61">
        <v>32</v>
      </c>
      <c r="N47" s="62" t="s">
        <v>61</v>
      </c>
      <c r="O47" s="128" t="s">
        <v>125</v>
      </c>
      <c r="P47" s="51">
        <v>34</v>
      </c>
      <c r="Q47" s="51" t="s">
        <v>150</v>
      </c>
    </row>
    <row r="48" spans="1:17" s="25" customFormat="1" ht="18.75" hidden="1">
      <c r="A48" s="28"/>
      <c r="B48" s="28"/>
      <c r="C48" s="44"/>
      <c r="D48" s="44"/>
      <c r="E48" s="45"/>
      <c r="F48" s="46"/>
      <c r="G48" s="129"/>
      <c r="H48" s="131"/>
      <c r="I48" s="60"/>
      <c r="J48" s="28"/>
      <c r="M48" s="61">
        <v>33</v>
      </c>
      <c r="N48" s="62" t="s">
        <v>63</v>
      </c>
      <c r="O48" s="128" t="s">
        <v>125</v>
      </c>
      <c r="P48" s="51">
        <v>35</v>
      </c>
      <c r="Q48" s="51" t="s">
        <v>150</v>
      </c>
    </row>
    <row r="49" spans="1:17" s="25" customFormat="1" ht="18.75" hidden="1">
      <c r="A49" s="28"/>
      <c r="B49" s="28"/>
      <c r="C49" s="44"/>
      <c r="D49" s="44"/>
      <c r="E49" s="45"/>
      <c r="F49" s="46"/>
      <c r="G49" s="129"/>
      <c r="H49" s="131"/>
      <c r="I49" s="60"/>
      <c r="J49" s="28"/>
      <c r="M49" s="61">
        <v>34</v>
      </c>
      <c r="N49" s="62" t="s">
        <v>172</v>
      </c>
      <c r="O49" s="128" t="s">
        <v>125</v>
      </c>
      <c r="P49" s="51">
        <v>36</v>
      </c>
      <c r="Q49" s="51" t="s">
        <v>150</v>
      </c>
    </row>
    <row r="50" spans="1:17" s="25" customFormat="1" ht="18.75" hidden="1">
      <c r="A50" s="28"/>
      <c r="B50" s="28"/>
      <c r="C50" s="44"/>
      <c r="D50" s="44"/>
      <c r="E50" s="45"/>
      <c r="F50" s="46"/>
      <c r="G50" s="129"/>
      <c r="H50" s="131"/>
      <c r="I50" s="60"/>
      <c r="J50" s="28"/>
      <c r="M50" s="61">
        <v>35</v>
      </c>
      <c r="N50" s="62" t="s">
        <v>173</v>
      </c>
      <c r="O50" s="128" t="s">
        <v>125</v>
      </c>
      <c r="P50" s="51">
        <v>37</v>
      </c>
      <c r="Q50" s="51" t="s">
        <v>150</v>
      </c>
    </row>
    <row r="51" spans="1:17" s="25" customFormat="1" ht="18.75" hidden="1">
      <c r="A51" s="28"/>
      <c r="B51" s="28"/>
      <c r="C51" s="44"/>
      <c r="D51" s="44"/>
      <c r="E51" s="45"/>
      <c r="F51" s="46"/>
      <c r="G51" s="129"/>
      <c r="H51" s="131"/>
      <c r="I51" s="60"/>
      <c r="J51" s="28"/>
      <c r="M51" s="61">
        <v>36</v>
      </c>
      <c r="N51" s="62" t="s">
        <v>66</v>
      </c>
      <c r="O51" s="128" t="s">
        <v>124</v>
      </c>
      <c r="P51" s="51">
        <v>38</v>
      </c>
      <c r="Q51" s="51" t="s">
        <v>150</v>
      </c>
    </row>
    <row r="52" spans="1:17" s="25" customFormat="1" ht="18.75" hidden="1">
      <c r="A52" s="28"/>
      <c r="B52" s="28"/>
      <c r="C52" s="44"/>
      <c r="D52" s="44"/>
      <c r="E52" s="45"/>
      <c r="F52" s="46"/>
      <c r="G52" s="129"/>
      <c r="H52" s="131"/>
      <c r="I52" s="60"/>
      <c r="J52" s="28"/>
      <c r="M52" s="61">
        <v>37</v>
      </c>
      <c r="N52" s="62" t="s">
        <v>68</v>
      </c>
      <c r="O52" s="56" t="s">
        <v>125</v>
      </c>
      <c r="P52" s="51">
        <v>39</v>
      </c>
      <c r="Q52" s="51" t="s">
        <v>150</v>
      </c>
    </row>
    <row r="53" spans="1:17" s="25" customFormat="1" ht="18.75" hidden="1">
      <c r="A53" s="28"/>
      <c r="B53" s="28"/>
      <c r="C53" s="44"/>
      <c r="D53" s="44"/>
      <c r="E53" s="45"/>
      <c r="F53" s="46"/>
      <c r="G53" s="129"/>
      <c r="H53" s="131"/>
      <c r="I53" s="60"/>
      <c r="J53" s="28"/>
      <c r="M53" s="61">
        <v>38</v>
      </c>
      <c r="N53" s="62" t="s">
        <v>70</v>
      </c>
      <c r="O53" s="128" t="s">
        <v>124</v>
      </c>
      <c r="P53" s="51">
        <v>40</v>
      </c>
      <c r="Q53" s="51" t="s">
        <v>150</v>
      </c>
    </row>
    <row r="54" spans="1:17" s="25" customFormat="1" ht="18.75" hidden="1">
      <c r="A54" s="28"/>
      <c r="B54" s="28"/>
      <c r="C54" s="44"/>
      <c r="D54" s="44"/>
      <c r="E54" s="45"/>
      <c r="F54" s="46"/>
      <c r="G54" s="129"/>
      <c r="H54" s="131"/>
      <c r="I54" s="60"/>
      <c r="J54" s="28"/>
      <c r="M54" s="61">
        <v>39</v>
      </c>
      <c r="N54" s="62" t="s">
        <v>72</v>
      </c>
      <c r="O54" s="128" t="s">
        <v>125</v>
      </c>
      <c r="P54" s="51">
        <v>41</v>
      </c>
      <c r="Q54" s="51" t="s">
        <v>150</v>
      </c>
    </row>
    <row r="55" spans="1:17" s="25" customFormat="1" ht="18.75" hidden="1">
      <c r="A55" s="28"/>
      <c r="B55" s="28"/>
      <c r="C55" s="44"/>
      <c r="D55" s="44"/>
      <c r="E55" s="45"/>
      <c r="F55" s="46"/>
      <c r="G55" s="129"/>
      <c r="H55" s="131"/>
      <c r="I55" s="60"/>
      <c r="J55" s="28"/>
      <c r="M55" s="61">
        <v>40</v>
      </c>
      <c r="N55" s="62" t="s">
        <v>74</v>
      </c>
      <c r="O55" s="128" t="s">
        <v>124</v>
      </c>
      <c r="P55" s="51">
        <v>42</v>
      </c>
      <c r="Q55" s="51" t="s">
        <v>150</v>
      </c>
    </row>
    <row r="56" spans="1:17" s="25" customFormat="1" ht="18.75" hidden="1">
      <c r="A56" s="28"/>
      <c r="B56" s="28"/>
      <c r="C56" s="44"/>
      <c r="D56" s="44"/>
      <c r="E56" s="45"/>
      <c r="F56" s="46"/>
      <c r="G56" s="129"/>
      <c r="H56" s="131"/>
      <c r="I56" s="60"/>
      <c r="J56" s="28"/>
      <c r="M56" s="61">
        <v>41</v>
      </c>
      <c r="N56" s="62" t="s">
        <v>76</v>
      </c>
      <c r="O56" s="128" t="s">
        <v>124</v>
      </c>
      <c r="P56" s="51">
        <v>43</v>
      </c>
      <c r="Q56" s="51" t="s">
        <v>150</v>
      </c>
    </row>
    <row r="57" spans="1:17" s="25" customFormat="1" ht="18.75" hidden="1">
      <c r="A57" s="28"/>
      <c r="B57" s="28"/>
      <c r="C57" s="44"/>
      <c r="D57" s="44"/>
      <c r="E57" s="45"/>
      <c r="F57" s="46"/>
      <c r="G57" s="129"/>
      <c r="H57" s="131"/>
      <c r="I57" s="60"/>
      <c r="J57" s="28"/>
      <c r="M57" s="61">
        <v>42</v>
      </c>
      <c r="N57" s="62" t="s">
        <v>78</v>
      </c>
      <c r="O57" s="128" t="s">
        <v>124</v>
      </c>
      <c r="P57" s="51">
        <v>44</v>
      </c>
      <c r="Q57" s="51" t="s">
        <v>150</v>
      </c>
    </row>
    <row r="58" spans="1:17" s="25" customFormat="1" ht="18.75" hidden="1">
      <c r="A58" s="28"/>
      <c r="B58" s="28"/>
      <c r="C58" s="44"/>
      <c r="D58" s="44"/>
      <c r="E58" s="45"/>
      <c r="F58" s="46"/>
      <c r="G58" s="129"/>
      <c r="H58" s="131"/>
      <c r="I58" s="60"/>
      <c r="J58" s="28"/>
      <c r="M58" s="61">
        <v>43</v>
      </c>
      <c r="N58" s="62" t="s">
        <v>79</v>
      </c>
      <c r="O58" s="128" t="s">
        <v>124</v>
      </c>
      <c r="P58" s="51">
        <v>45</v>
      </c>
      <c r="Q58" s="51" t="s">
        <v>150</v>
      </c>
    </row>
    <row r="59" spans="1:17" s="25" customFormat="1" ht="18.75" hidden="1">
      <c r="A59" s="28"/>
      <c r="B59" s="28"/>
      <c r="C59" s="44"/>
      <c r="D59" s="44"/>
      <c r="E59" s="45"/>
      <c r="F59" s="46"/>
      <c r="G59" s="129"/>
      <c r="H59" s="131"/>
      <c r="I59" s="60"/>
      <c r="J59" s="28"/>
      <c r="M59" s="61">
        <v>44</v>
      </c>
      <c r="N59" s="62" t="s">
        <v>80</v>
      </c>
      <c r="O59" s="128" t="s">
        <v>124</v>
      </c>
      <c r="P59" s="51">
        <v>46</v>
      </c>
      <c r="Q59" s="51" t="s">
        <v>150</v>
      </c>
    </row>
    <row r="60" spans="1:17" s="25" customFormat="1" ht="18.75" hidden="1">
      <c r="A60" s="28"/>
      <c r="B60" s="28"/>
      <c r="C60" s="44"/>
      <c r="D60" s="44"/>
      <c r="E60" s="45"/>
      <c r="F60" s="46"/>
      <c r="G60" s="129"/>
      <c r="H60" s="131"/>
      <c r="I60" s="60"/>
      <c r="J60" s="28"/>
      <c r="M60" s="61">
        <v>45</v>
      </c>
      <c r="N60" s="62" t="s">
        <v>81</v>
      </c>
      <c r="O60" s="128" t="s">
        <v>125</v>
      </c>
      <c r="P60" s="51">
        <v>47</v>
      </c>
      <c r="Q60" s="51" t="s">
        <v>150</v>
      </c>
    </row>
    <row r="61" spans="1:17" s="25" customFormat="1" ht="18.75" hidden="1">
      <c r="A61" s="28"/>
      <c r="B61" s="28"/>
      <c r="C61" s="44"/>
      <c r="D61" s="44"/>
      <c r="E61" s="45"/>
      <c r="F61" s="46"/>
      <c r="G61" s="129"/>
      <c r="H61" s="131"/>
      <c r="I61" s="60"/>
      <c r="J61" s="28"/>
      <c r="M61" s="61">
        <v>46</v>
      </c>
      <c r="N61" s="62" t="s">
        <v>82</v>
      </c>
      <c r="O61" s="128" t="s">
        <v>125</v>
      </c>
      <c r="P61" s="51">
        <v>48</v>
      </c>
      <c r="Q61" s="51" t="s">
        <v>150</v>
      </c>
    </row>
    <row r="62" spans="1:17" s="25" customFormat="1" ht="18.75" hidden="1">
      <c r="A62" s="28"/>
      <c r="B62" s="28"/>
      <c r="C62" s="44"/>
      <c r="D62" s="44"/>
      <c r="E62" s="45"/>
      <c r="F62" s="46"/>
      <c r="G62" s="129"/>
      <c r="H62" s="131"/>
      <c r="I62" s="60"/>
      <c r="J62" s="28"/>
      <c r="M62" s="61">
        <v>47</v>
      </c>
      <c r="N62" s="62" t="s">
        <v>174</v>
      </c>
      <c r="O62" s="128" t="s">
        <v>125</v>
      </c>
      <c r="P62" s="51">
        <v>49</v>
      </c>
      <c r="Q62" s="51" t="s">
        <v>150</v>
      </c>
    </row>
    <row r="63" spans="1:17" s="25" customFormat="1" ht="18.75" hidden="1">
      <c r="A63" s="28"/>
      <c r="B63" s="28"/>
      <c r="C63" s="44"/>
      <c r="D63" s="44"/>
      <c r="E63" s="45"/>
      <c r="F63" s="46"/>
      <c r="G63" s="129"/>
      <c r="H63" s="131"/>
      <c r="I63" s="60"/>
      <c r="J63" s="28"/>
      <c r="M63" s="61">
        <v>48</v>
      </c>
      <c r="N63" s="62" t="s">
        <v>175</v>
      </c>
      <c r="O63" s="128" t="s">
        <v>125</v>
      </c>
      <c r="P63" s="51">
        <v>50</v>
      </c>
      <c r="Q63" s="51" t="s">
        <v>150</v>
      </c>
    </row>
    <row r="64" spans="1:17" s="25" customFormat="1" ht="18.75" hidden="1">
      <c r="A64" s="28"/>
      <c r="B64" s="28"/>
      <c r="C64" s="44"/>
      <c r="D64" s="44"/>
      <c r="E64" s="45"/>
      <c r="F64" s="46"/>
      <c r="G64" s="129"/>
      <c r="H64" s="131"/>
      <c r="I64" s="60"/>
      <c r="J64" s="28"/>
      <c r="M64" s="61">
        <v>49</v>
      </c>
      <c r="N64" s="62" t="s">
        <v>83</v>
      </c>
      <c r="O64" s="128" t="s">
        <v>124</v>
      </c>
      <c r="P64" s="51">
        <v>51</v>
      </c>
      <c r="Q64" s="51" t="s">
        <v>150</v>
      </c>
    </row>
    <row r="65" spans="1:17" s="25" customFormat="1" ht="18.75" hidden="1">
      <c r="A65" s="28"/>
      <c r="B65" s="28"/>
      <c r="C65" s="44"/>
      <c r="D65" s="44"/>
      <c r="E65" s="45"/>
      <c r="F65" s="46"/>
      <c r="G65" s="129"/>
      <c r="H65" s="131"/>
      <c r="I65" s="60"/>
      <c r="J65" s="28"/>
      <c r="M65" s="61">
        <v>50</v>
      </c>
      <c r="N65" s="62" t="s">
        <v>84</v>
      </c>
      <c r="O65" s="56" t="s">
        <v>125</v>
      </c>
      <c r="P65" s="51">
        <v>52</v>
      </c>
      <c r="Q65" s="51" t="s">
        <v>150</v>
      </c>
    </row>
    <row r="66" spans="1:17" s="25" customFormat="1" ht="18.75" hidden="1">
      <c r="A66" s="28"/>
      <c r="B66" s="28"/>
      <c r="C66" s="44"/>
      <c r="D66" s="44"/>
      <c r="E66" s="45"/>
      <c r="F66" s="46"/>
      <c r="G66" s="129"/>
      <c r="H66" s="131"/>
      <c r="I66" s="60"/>
      <c r="J66" s="28"/>
      <c r="M66" s="61">
        <v>51</v>
      </c>
      <c r="N66" s="62" t="s">
        <v>85</v>
      </c>
      <c r="O66" s="56" t="s">
        <v>124</v>
      </c>
      <c r="P66" s="51">
        <v>53</v>
      </c>
      <c r="Q66" s="51" t="s">
        <v>150</v>
      </c>
    </row>
    <row r="67" spans="1:17" s="25" customFormat="1" ht="18.75" hidden="1">
      <c r="A67" s="28"/>
      <c r="B67" s="28"/>
      <c r="C67" s="44"/>
      <c r="D67" s="44"/>
      <c r="E67" s="45"/>
      <c r="F67" s="46"/>
      <c r="G67" s="129"/>
      <c r="H67" s="131"/>
      <c r="I67" s="60"/>
      <c r="J67" s="28"/>
      <c r="M67" s="61">
        <v>52</v>
      </c>
      <c r="N67" s="62" t="s">
        <v>86</v>
      </c>
      <c r="O67" s="56" t="s">
        <v>125</v>
      </c>
      <c r="P67" s="51">
        <v>54</v>
      </c>
      <c r="Q67" s="51" t="s">
        <v>150</v>
      </c>
    </row>
    <row r="68" spans="1:17" s="25" customFormat="1" ht="18.75" hidden="1">
      <c r="A68" s="28"/>
      <c r="B68" s="28"/>
      <c r="C68" s="44"/>
      <c r="D68" s="44"/>
      <c r="E68" s="45"/>
      <c r="F68" s="46"/>
      <c r="G68" s="129"/>
      <c r="H68" s="131"/>
      <c r="I68" s="60"/>
      <c r="J68" s="28"/>
      <c r="M68" s="61">
        <v>53</v>
      </c>
      <c r="N68" s="62" t="s">
        <v>87</v>
      </c>
      <c r="O68" s="56" t="s">
        <v>124</v>
      </c>
      <c r="P68" s="51">
        <v>55</v>
      </c>
      <c r="Q68" s="51" t="s">
        <v>150</v>
      </c>
    </row>
    <row r="69" spans="1:17" s="25" customFormat="1" ht="18.75" hidden="1">
      <c r="A69" s="28"/>
      <c r="B69" s="28"/>
      <c r="C69" s="44"/>
      <c r="D69" s="44"/>
      <c r="E69" s="45"/>
      <c r="F69" s="46"/>
      <c r="G69" s="129"/>
      <c r="H69" s="131"/>
      <c r="I69" s="60"/>
      <c r="J69" s="28"/>
      <c r="M69" s="61">
        <v>54</v>
      </c>
      <c r="N69" s="62" t="s">
        <v>229</v>
      </c>
      <c r="O69" s="128" t="s">
        <v>124</v>
      </c>
      <c r="P69" s="51">
        <v>56</v>
      </c>
      <c r="Q69" s="51" t="s">
        <v>150</v>
      </c>
    </row>
    <row r="70" spans="1:17" s="25" customFormat="1" ht="18.75" hidden="1">
      <c r="A70" s="28"/>
      <c r="B70" s="28"/>
      <c r="C70" s="44"/>
      <c r="D70" s="44"/>
      <c r="E70" s="45"/>
      <c r="F70" s="46"/>
      <c r="G70" s="129"/>
      <c r="H70" s="131"/>
      <c r="I70" s="60"/>
      <c r="J70" s="28"/>
      <c r="M70" s="61">
        <v>55</v>
      </c>
      <c r="N70" s="62" t="s">
        <v>230</v>
      </c>
      <c r="O70" s="56" t="s">
        <v>124</v>
      </c>
      <c r="P70" s="51">
        <v>57</v>
      </c>
      <c r="Q70" s="51" t="s">
        <v>150</v>
      </c>
    </row>
    <row r="71" spans="1:17" s="25" customFormat="1" ht="18.75" hidden="1">
      <c r="A71" s="28"/>
      <c r="B71" s="28"/>
      <c r="C71" s="44"/>
      <c r="D71" s="44"/>
      <c r="E71" s="45"/>
      <c r="F71" s="46"/>
      <c r="G71" s="129"/>
      <c r="H71" s="131"/>
      <c r="I71" s="60"/>
      <c r="J71" s="28"/>
      <c r="M71" s="61">
        <v>56</v>
      </c>
      <c r="N71" s="62" t="s">
        <v>231</v>
      </c>
      <c r="O71" s="56" t="s">
        <v>124</v>
      </c>
      <c r="P71" s="51">
        <v>58</v>
      </c>
      <c r="Q71" s="51" t="s">
        <v>150</v>
      </c>
    </row>
    <row r="72" spans="1:17" s="25" customFormat="1" ht="18.75" hidden="1">
      <c r="A72" s="28"/>
      <c r="B72" s="28"/>
      <c r="C72" s="44"/>
      <c r="D72" s="44"/>
      <c r="E72" s="45"/>
      <c r="F72" s="46"/>
      <c r="G72" s="129"/>
      <c r="H72" s="131"/>
      <c r="I72" s="60"/>
      <c r="J72" s="28"/>
      <c r="M72" s="61">
        <v>57</v>
      </c>
      <c r="N72" s="62" t="s">
        <v>232</v>
      </c>
      <c r="O72" s="56" t="s">
        <v>124</v>
      </c>
      <c r="P72" s="51">
        <v>59</v>
      </c>
      <c r="Q72" s="51" t="s">
        <v>150</v>
      </c>
    </row>
    <row r="73" spans="1:17" s="25" customFormat="1" ht="18.75" hidden="1">
      <c r="A73" s="28"/>
      <c r="B73" s="28"/>
      <c r="C73" s="44"/>
      <c r="D73" s="44"/>
      <c r="E73" s="45"/>
      <c r="F73" s="46"/>
      <c r="G73" s="129"/>
      <c r="H73" s="131"/>
      <c r="I73" s="60"/>
      <c r="J73" s="28"/>
      <c r="M73" s="61">
        <v>58</v>
      </c>
      <c r="N73" s="62" t="s">
        <v>88</v>
      </c>
      <c r="O73" s="128" t="s">
        <v>125</v>
      </c>
      <c r="P73" s="51">
        <v>60</v>
      </c>
      <c r="Q73" s="51" t="s">
        <v>150</v>
      </c>
    </row>
    <row r="74" spans="1:17" s="25" customFormat="1" ht="18.75" hidden="1">
      <c r="A74" s="28"/>
      <c r="B74" s="28"/>
      <c r="C74" s="44"/>
      <c r="D74" s="44"/>
      <c r="E74" s="45"/>
      <c r="F74" s="46"/>
      <c r="G74" s="129"/>
      <c r="H74" s="131"/>
      <c r="I74" s="60"/>
      <c r="J74" s="28"/>
      <c r="M74" s="61">
        <v>59</v>
      </c>
      <c r="N74" s="62" t="s">
        <v>89</v>
      </c>
      <c r="O74" s="56" t="s">
        <v>125</v>
      </c>
      <c r="P74" s="51">
        <v>61</v>
      </c>
      <c r="Q74" s="51" t="s">
        <v>150</v>
      </c>
    </row>
    <row r="75" spans="1:17" s="25" customFormat="1" ht="18.75" hidden="1">
      <c r="A75" s="28"/>
      <c r="B75" s="28"/>
      <c r="C75" s="44"/>
      <c r="D75" s="44"/>
      <c r="E75" s="45"/>
      <c r="F75" s="46"/>
      <c r="G75" s="129"/>
      <c r="H75" s="131"/>
      <c r="I75" s="60"/>
      <c r="J75" s="28"/>
      <c r="M75" s="61">
        <v>60</v>
      </c>
      <c r="N75" s="62" t="s">
        <v>90</v>
      </c>
      <c r="O75" s="56" t="s">
        <v>125</v>
      </c>
      <c r="P75" s="51">
        <v>62</v>
      </c>
      <c r="Q75" s="51" t="s">
        <v>150</v>
      </c>
    </row>
    <row r="76" spans="1:17" s="25" customFormat="1" ht="18.75" hidden="1">
      <c r="A76" s="28"/>
      <c r="B76" s="28"/>
      <c r="C76" s="44"/>
      <c r="D76" s="44"/>
      <c r="E76" s="45"/>
      <c r="F76" s="46"/>
      <c r="G76" s="129"/>
      <c r="H76" s="131"/>
      <c r="I76" s="60"/>
      <c r="J76" s="28"/>
      <c r="M76" s="61">
        <v>61</v>
      </c>
      <c r="N76" s="62" t="s">
        <v>176</v>
      </c>
      <c r="O76" s="56" t="s">
        <v>125</v>
      </c>
      <c r="P76" s="51">
        <v>63</v>
      </c>
      <c r="Q76" s="51" t="s">
        <v>150</v>
      </c>
    </row>
    <row r="77" spans="1:17" s="25" customFormat="1" ht="18.75" hidden="1">
      <c r="A77" s="28"/>
      <c r="B77" s="28"/>
      <c r="C77" s="44"/>
      <c r="D77" s="44"/>
      <c r="E77" s="45"/>
      <c r="F77" s="46"/>
      <c r="G77" s="129"/>
      <c r="H77" s="131"/>
      <c r="I77" s="60"/>
      <c r="J77" s="28"/>
      <c r="M77" s="61">
        <v>62</v>
      </c>
      <c r="N77" s="62" t="s">
        <v>177</v>
      </c>
      <c r="O77" s="56" t="s">
        <v>125</v>
      </c>
      <c r="P77" s="51">
        <v>64</v>
      </c>
      <c r="Q77" s="51" t="s">
        <v>150</v>
      </c>
    </row>
    <row r="78" spans="1:17" s="25" customFormat="1" ht="18.75" hidden="1">
      <c r="A78" s="28"/>
      <c r="B78" s="28"/>
      <c r="C78" s="44"/>
      <c r="D78" s="44"/>
      <c r="E78" s="45"/>
      <c r="F78" s="46"/>
      <c r="G78" s="129"/>
      <c r="H78" s="131"/>
      <c r="I78" s="60"/>
      <c r="J78" s="28"/>
      <c r="M78" s="61">
        <v>63</v>
      </c>
      <c r="N78" s="62" t="s">
        <v>91</v>
      </c>
      <c r="O78" s="56" t="s">
        <v>124</v>
      </c>
      <c r="P78" s="51">
        <v>65</v>
      </c>
      <c r="Q78" s="51" t="s">
        <v>150</v>
      </c>
    </row>
    <row r="79" spans="1:17" s="25" customFormat="1" ht="18.75" hidden="1">
      <c r="A79" s="28"/>
      <c r="B79" s="28"/>
      <c r="C79" s="44"/>
      <c r="D79" s="44"/>
      <c r="E79" s="45"/>
      <c r="F79" s="46"/>
      <c r="G79" s="129"/>
      <c r="H79" s="131"/>
      <c r="I79" s="60"/>
      <c r="J79" s="28"/>
      <c r="M79" s="61">
        <v>64</v>
      </c>
      <c r="N79" s="62" t="s">
        <v>92</v>
      </c>
      <c r="O79" s="56" t="s">
        <v>125</v>
      </c>
      <c r="P79" s="51">
        <v>66</v>
      </c>
      <c r="Q79" s="51" t="s">
        <v>150</v>
      </c>
    </row>
    <row r="80" spans="1:17" s="25" customFormat="1" ht="18.75" hidden="1">
      <c r="A80" s="28"/>
      <c r="B80" s="28"/>
      <c r="C80" s="44"/>
      <c r="D80" s="44"/>
      <c r="E80" s="45"/>
      <c r="F80" s="46"/>
      <c r="G80" s="129"/>
      <c r="H80" s="131"/>
      <c r="I80" s="60"/>
      <c r="J80" s="28"/>
      <c r="M80" s="61">
        <v>65</v>
      </c>
      <c r="N80" s="62" t="s">
        <v>93</v>
      </c>
      <c r="O80" s="56" t="s">
        <v>124</v>
      </c>
      <c r="P80" s="51">
        <v>67</v>
      </c>
      <c r="Q80" s="51" t="s">
        <v>150</v>
      </c>
    </row>
    <row r="81" spans="1:17" s="25" customFormat="1" ht="18.75" hidden="1">
      <c r="A81" s="28"/>
      <c r="B81" s="28"/>
      <c r="C81" s="44"/>
      <c r="D81" s="44"/>
      <c r="E81" s="45"/>
      <c r="F81" s="46"/>
      <c r="G81" s="129"/>
      <c r="H81" s="131"/>
      <c r="I81" s="60"/>
      <c r="J81" s="28"/>
      <c r="M81" s="61">
        <v>66</v>
      </c>
      <c r="N81" s="62" t="s">
        <v>94</v>
      </c>
      <c r="O81" s="56" t="s">
        <v>125</v>
      </c>
      <c r="P81" s="51"/>
      <c r="Q81" s="51"/>
    </row>
    <row r="82" spans="1:17" s="25" customFormat="1" ht="18.75" hidden="1">
      <c r="A82" s="28"/>
      <c r="B82" s="28"/>
      <c r="C82" s="44"/>
      <c r="D82" s="44"/>
      <c r="E82" s="45"/>
      <c r="F82" s="46"/>
      <c r="G82" s="129"/>
      <c r="H82" s="131"/>
      <c r="I82" s="60"/>
      <c r="J82" s="28"/>
      <c r="M82" s="61">
        <v>67</v>
      </c>
      <c r="N82" s="62" t="s">
        <v>95</v>
      </c>
      <c r="O82" s="56" t="s">
        <v>124</v>
      </c>
      <c r="P82" s="51"/>
      <c r="Q82" s="51"/>
    </row>
    <row r="83" spans="1:17" s="25" customFormat="1" ht="18.75" hidden="1">
      <c r="A83" s="28"/>
      <c r="B83" s="28"/>
      <c r="C83" s="44"/>
      <c r="D83" s="44"/>
      <c r="E83" s="45"/>
      <c r="F83" s="46"/>
      <c r="G83" s="129"/>
      <c r="H83" s="131"/>
      <c r="I83" s="60"/>
      <c r="J83" s="28"/>
      <c r="M83" s="61">
        <v>68</v>
      </c>
      <c r="N83" s="62" t="s">
        <v>96</v>
      </c>
      <c r="O83" s="56" t="s">
        <v>124</v>
      </c>
      <c r="P83" s="51"/>
      <c r="Q83" s="51"/>
    </row>
    <row r="84" spans="1:17" s="25" customFormat="1" ht="18.75" hidden="1">
      <c r="A84" s="28"/>
      <c r="B84" s="28"/>
      <c r="C84" s="44"/>
      <c r="D84" s="44"/>
      <c r="E84" s="45"/>
      <c r="F84" s="46"/>
      <c r="G84" s="129"/>
      <c r="H84" s="131"/>
      <c r="I84" s="60"/>
      <c r="J84" s="28"/>
      <c r="M84" s="61">
        <v>69</v>
      </c>
      <c r="N84" s="62" t="s">
        <v>97</v>
      </c>
      <c r="O84" s="56" t="s">
        <v>124</v>
      </c>
      <c r="P84" s="51"/>
      <c r="Q84" s="51"/>
    </row>
    <row r="85" spans="1:17" s="25" customFormat="1" ht="18.75" hidden="1">
      <c r="A85" s="28"/>
      <c r="B85" s="28"/>
      <c r="C85" s="44"/>
      <c r="D85" s="44"/>
      <c r="E85" s="45"/>
      <c r="F85" s="46"/>
      <c r="G85" s="129"/>
      <c r="H85" s="131"/>
      <c r="I85" s="60"/>
      <c r="J85" s="28"/>
      <c r="M85" s="61">
        <v>70</v>
      </c>
      <c r="N85" s="62" t="s">
        <v>98</v>
      </c>
      <c r="O85" s="56" t="s">
        <v>124</v>
      </c>
      <c r="P85" s="51"/>
      <c r="Q85" s="51"/>
    </row>
    <row r="86" spans="1:17" s="25" customFormat="1" ht="18.75" hidden="1">
      <c r="A86" s="28"/>
      <c r="B86" s="28"/>
      <c r="C86" s="44"/>
      <c r="D86" s="44"/>
      <c r="E86" s="45"/>
      <c r="F86" s="46"/>
      <c r="G86" s="129"/>
      <c r="H86" s="131"/>
      <c r="I86" s="60"/>
      <c r="J86" s="28"/>
      <c r="M86" s="61">
        <v>71</v>
      </c>
      <c r="N86" s="62" t="s">
        <v>99</v>
      </c>
      <c r="O86" s="56" t="s">
        <v>124</v>
      </c>
      <c r="P86" s="51"/>
      <c r="Q86" s="51"/>
    </row>
    <row r="87" spans="1:17" s="25" customFormat="1" ht="18.75" hidden="1">
      <c r="A87" s="28"/>
      <c r="B87" s="28"/>
      <c r="C87" s="44"/>
      <c r="D87" s="44"/>
      <c r="E87" s="45"/>
      <c r="F87" s="46"/>
      <c r="G87" s="129"/>
      <c r="H87" s="131"/>
      <c r="I87" s="60"/>
      <c r="J87" s="28"/>
      <c r="M87" s="61">
        <v>72</v>
      </c>
      <c r="N87" s="62" t="s">
        <v>100</v>
      </c>
      <c r="O87" s="56" t="s">
        <v>124</v>
      </c>
      <c r="P87" s="51"/>
      <c r="Q87" s="51"/>
    </row>
    <row r="88" spans="1:17" s="25" customFormat="1" ht="18.75" hidden="1">
      <c r="A88" s="28"/>
      <c r="B88" s="28"/>
      <c r="C88" s="44"/>
      <c r="D88" s="44"/>
      <c r="E88" s="45"/>
      <c r="F88" s="46"/>
      <c r="G88" s="129"/>
      <c r="H88" s="131"/>
      <c r="I88" s="60"/>
      <c r="J88" s="28"/>
      <c r="M88" s="61">
        <v>73</v>
      </c>
      <c r="N88" s="62" t="s">
        <v>101</v>
      </c>
      <c r="O88" s="56" t="s">
        <v>125</v>
      </c>
      <c r="P88" s="51"/>
      <c r="Q88" s="51"/>
    </row>
    <row r="89" spans="1:17" s="25" customFormat="1" ht="18.75" hidden="1">
      <c r="A89" s="28"/>
      <c r="B89" s="28"/>
      <c r="C89" s="44"/>
      <c r="D89" s="44"/>
      <c r="E89" s="45"/>
      <c r="F89" s="46"/>
      <c r="G89" s="129"/>
      <c r="H89" s="131"/>
      <c r="I89" s="60"/>
      <c r="J89" s="28"/>
      <c r="M89" s="61">
        <v>74</v>
      </c>
      <c r="N89" s="62" t="s">
        <v>102</v>
      </c>
      <c r="O89" s="56" t="s">
        <v>125</v>
      </c>
      <c r="P89" s="51"/>
      <c r="Q89" s="51"/>
    </row>
    <row r="90" spans="1:17" s="25" customFormat="1" ht="18.75" hidden="1">
      <c r="A90" s="28"/>
      <c r="B90" s="28"/>
      <c r="C90" s="44"/>
      <c r="D90" s="44"/>
      <c r="E90" s="45"/>
      <c r="F90" s="46"/>
      <c r="G90" s="129"/>
      <c r="H90" s="131"/>
      <c r="I90" s="60"/>
      <c r="J90" s="28"/>
      <c r="M90" s="61">
        <v>75</v>
      </c>
      <c r="N90" s="62" t="s">
        <v>103</v>
      </c>
      <c r="O90" s="56" t="s">
        <v>125</v>
      </c>
      <c r="P90" s="51"/>
      <c r="Q90" s="51"/>
    </row>
    <row r="91" spans="1:17" s="25" customFormat="1" ht="18.75" hidden="1">
      <c r="A91" s="28"/>
      <c r="B91" s="28"/>
      <c r="C91" s="44"/>
      <c r="D91" s="44"/>
      <c r="E91" s="45"/>
      <c r="F91" s="46"/>
      <c r="G91" s="129"/>
      <c r="H91" s="131"/>
      <c r="I91" s="60"/>
      <c r="J91" s="28"/>
      <c r="M91" s="61">
        <v>76</v>
      </c>
      <c r="N91" s="62" t="s">
        <v>104</v>
      </c>
      <c r="O91" s="56" t="s">
        <v>125</v>
      </c>
      <c r="P91" s="51"/>
      <c r="Q91" s="51"/>
    </row>
    <row r="92" spans="1:17" s="25" customFormat="1" ht="18.75" hidden="1">
      <c r="A92" s="28"/>
      <c r="B92" s="28"/>
      <c r="C92" s="44"/>
      <c r="D92" s="44"/>
      <c r="E92" s="45"/>
      <c r="F92" s="46"/>
      <c r="G92" s="129"/>
      <c r="H92" s="131"/>
      <c r="I92" s="60"/>
      <c r="J92" s="28"/>
      <c r="M92" s="61">
        <v>77</v>
      </c>
      <c r="N92" s="62" t="s">
        <v>105</v>
      </c>
      <c r="O92" s="56" t="s">
        <v>125</v>
      </c>
      <c r="P92" s="51"/>
      <c r="Q92" s="51"/>
    </row>
    <row r="93" spans="1:17" s="25" customFormat="1" ht="18.75" hidden="1">
      <c r="A93" s="28"/>
      <c r="B93" s="28"/>
      <c r="C93" s="44"/>
      <c r="D93" s="44"/>
      <c r="E93" s="45"/>
      <c r="F93" s="46"/>
      <c r="G93" s="129"/>
      <c r="H93" s="131"/>
      <c r="I93" s="60"/>
      <c r="J93" s="28"/>
      <c r="M93" s="61">
        <v>78</v>
      </c>
      <c r="N93" s="62" t="s">
        <v>106</v>
      </c>
      <c r="O93" s="56" t="s">
        <v>124</v>
      </c>
      <c r="P93" s="51"/>
      <c r="Q93" s="51"/>
    </row>
    <row r="94" spans="1:17" s="25" customFormat="1" ht="18.75" hidden="1">
      <c r="A94" s="28"/>
      <c r="B94" s="28"/>
      <c r="C94" s="44"/>
      <c r="D94" s="44"/>
      <c r="E94" s="45"/>
      <c r="F94" s="46"/>
      <c r="G94" s="129"/>
      <c r="H94" s="131"/>
      <c r="I94" s="60"/>
      <c r="J94" s="28"/>
      <c r="M94" s="61">
        <v>79</v>
      </c>
      <c r="N94" s="62" t="s">
        <v>107</v>
      </c>
      <c r="O94" s="56" t="s">
        <v>125</v>
      </c>
      <c r="P94" s="51"/>
      <c r="Q94" s="51"/>
    </row>
    <row r="95" spans="1:17" s="25" customFormat="1" ht="18.75" hidden="1">
      <c r="A95" s="28"/>
      <c r="B95" s="28"/>
      <c r="C95" s="44"/>
      <c r="D95" s="44"/>
      <c r="E95" s="45"/>
      <c r="F95" s="46"/>
      <c r="G95" s="129"/>
      <c r="H95" s="131"/>
      <c r="I95" s="60"/>
      <c r="J95" s="28"/>
      <c r="M95" s="61">
        <v>80</v>
      </c>
      <c r="N95" s="62" t="s">
        <v>108</v>
      </c>
      <c r="O95" s="56" t="s">
        <v>124</v>
      </c>
      <c r="P95" s="51"/>
      <c r="Q95" s="51"/>
    </row>
    <row r="96" spans="1:17" s="25" customFormat="1" ht="18.75" hidden="1">
      <c r="A96" s="28"/>
      <c r="B96" s="28"/>
      <c r="C96" s="44"/>
      <c r="D96" s="44"/>
      <c r="E96" s="45"/>
      <c r="F96" s="46"/>
      <c r="G96" s="129"/>
      <c r="H96" s="131"/>
      <c r="I96" s="60"/>
      <c r="J96" s="28"/>
      <c r="M96" s="61">
        <v>81</v>
      </c>
      <c r="N96" s="62" t="s">
        <v>109</v>
      </c>
      <c r="O96" s="56" t="s">
        <v>125</v>
      </c>
      <c r="P96" s="51"/>
      <c r="Q96" s="51"/>
    </row>
    <row r="97" spans="1:17" s="25" customFormat="1" ht="18.75" hidden="1">
      <c r="A97" s="28"/>
      <c r="B97" s="28"/>
      <c r="C97" s="44"/>
      <c r="D97" s="44"/>
      <c r="E97" s="45"/>
      <c r="F97" s="46"/>
      <c r="G97" s="129"/>
      <c r="H97" s="131"/>
      <c r="I97" s="60"/>
      <c r="J97" s="28"/>
      <c r="M97" s="61">
        <v>82</v>
      </c>
      <c r="N97" s="62" t="s">
        <v>110</v>
      </c>
      <c r="O97" s="56" t="s">
        <v>124</v>
      </c>
      <c r="P97" s="51"/>
      <c r="Q97" s="51"/>
    </row>
    <row r="98" spans="1:17" s="25" customFormat="1" ht="18.75" hidden="1">
      <c r="A98" s="28"/>
      <c r="B98" s="28"/>
      <c r="C98" s="44"/>
      <c r="D98" s="44"/>
      <c r="E98" s="45"/>
      <c r="F98" s="46"/>
      <c r="G98" s="129"/>
      <c r="H98" s="131"/>
      <c r="I98" s="60"/>
      <c r="J98" s="28"/>
      <c r="M98" s="61">
        <v>83</v>
      </c>
      <c r="N98" s="62" t="s">
        <v>111</v>
      </c>
      <c r="O98" s="56" t="s">
        <v>124</v>
      </c>
      <c r="P98" s="51"/>
      <c r="Q98" s="51"/>
    </row>
    <row r="99" spans="1:17" s="25" customFormat="1" ht="18.75" hidden="1">
      <c r="A99" s="28"/>
      <c r="B99" s="28"/>
      <c r="C99" s="44"/>
      <c r="D99" s="44"/>
      <c r="E99" s="45"/>
      <c r="F99" s="46"/>
      <c r="G99" s="129"/>
      <c r="H99" s="131"/>
      <c r="I99" s="60"/>
      <c r="J99" s="28"/>
      <c r="M99" s="61">
        <v>84</v>
      </c>
      <c r="N99" s="62" t="s">
        <v>112</v>
      </c>
      <c r="O99" s="56" t="s">
        <v>124</v>
      </c>
      <c r="P99" s="51"/>
      <c r="Q99" s="51"/>
    </row>
    <row r="100" spans="1:17" s="25" customFormat="1" ht="18.75" hidden="1">
      <c r="A100" s="28"/>
      <c r="B100" s="28"/>
      <c r="C100" s="44"/>
      <c r="D100" s="44"/>
      <c r="E100" s="45"/>
      <c r="F100" s="46"/>
      <c r="G100" s="129"/>
      <c r="H100" s="131"/>
      <c r="I100" s="60"/>
      <c r="J100" s="28"/>
      <c r="M100" s="61">
        <v>85</v>
      </c>
      <c r="N100" s="62" t="s">
        <v>113</v>
      </c>
      <c r="O100" s="56" t="s">
        <v>124</v>
      </c>
      <c r="P100" s="51"/>
      <c r="Q100" s="51"/>
    </row>
    <row r="101" spans="1:17" s="25" customFormat="1" ht="18.75" hidden="1">
      <c r="A101" s="28"/>
      <c r="B101" s="28"/>
      <c r="C101" s="44"/>
      <c r="D101" s="44"/>
      <c r="E101" s="45"/>
      <c r="F101" s="46"/>
      <c r="G101" s="129"/>
      <c r="H101" s="131"/>
      <c r="I101" s="60"/>
      <c r="J101" s="28"/>
      <c r="M101" s="61">
        <v>86</v>
      </c>
      <c r="N101" s="62" t="s">
        <v>114</v>
      </c>
      <c r="O101" s="56" t="s">
        <v>124</v>
      </c>
      <c r="P101" s="51"/>
      <c r="Q101" s="51"/>
    </row>
    <row r="102" spans="1:17" s="25" customFormat="1" ht="18.75" hidden="1">
      <c r="A102" s="28"/>
      <c r="B102" s="28"/>
      <c r="C102" s="44"/>
      <c r="D102" s="44"/>
      <c r="E102" s="45"/>
      <c r="F102" s="46"/>
      <c r="G102" s="129"/>
      <c r="H102" s="131"/>
      <c r="I102" s="60"/>
      <c r="J102" s="28"/>
      <c r="M102" s="61">
        <v>87</v>
      </c>
      <c r="N102" s="62" t="s">
        <v>115</v>
      </c>
      <c r="O102" s="56" t="s">
        <v>124</v>
      </c>
      <c r="P102" s="51"/>
      <c r="Q102" s="51"/>
    </row>
    <row r="103" spans="1:17" s="25" customFormat="1" ht="18.75" hidden="1">
      <c r="A103" s="28"/>
      <c r="B103" s="28"/>
      <c r="C103" s="44"/>
      <c r="D103" s="44"/>
      <c r="E103" s="45"/>
      <c r="F103" s="46"/>
      <c r="G103" s="129"/>
      <c r="H103" s="131"/>
      <c r="I103" s="60"/>
      <c r="J103" s="28"/>
      <c r="M103" s="61">
        <v>88</v>
      </c>
      <c r="N103" s="62" t="s">
        <v>116</v>
      </c>
      <c r="O103" s="56" t="s">
        <v>125</v>
      </c>
      <c r="P103" s="51"/>
      <c r="Q103" s="51"/>
    </row>
    <row r="104" spans="1:17" s="25" customFormat="1" ht="18.75" hidden="1">
      <c r="A104" s="28"/>
      <c r="B104" s="28"/>
      <c r="C104" s="44"/>
      <c r="D104" s="44"/>
      <c r="E104" s="45"/>
      <c r="F104" s="46"/>
      <c r="G104" s="129"/>
      <c r="H104" s="131"/>
      <c r="I104" s="60"/>
      <c r="J104" s="28"/>
      <c r="M104" s="61">
        <v>89</v>
      </c>
      <c r="N104" s="62" t="s">
        <v>117</v>
      </c>
      <c r="O104" s="56" t="s">
        <v>125</v>
      </c>
      <c r="P104" s="51"/>
      <c r="Q104" s="51"/>
    </row>
    <row r="105" spans="1:17" s="25" customFormat="1" ht="18.75" hidden="1">
      <c r="A105" s="28"/>
      <c r="B105" s="28"/>
      <c r="C105" s="44"/>
      <c r="D105" s="44"/>
      <c r="E105" s="45"/>
      <c r="F105" s="46"/>
      <c r="G105" s="129"/>
      <c r="H105" s="131"/>
      <c r="I105" s="60"/>
      <c r="J105" s="28"/>
      <c r="M105" s="61">
        <v>90</v>
      </c>
      <c r="N105" s="62" t="s">
        <v>118</v>
      </c>
      <c r="O105" s="56" t="s">
        <v>125</v>
      </c>
      <c r="P105" s="51"/>
      <c r="Q105" s="51"/>
    </row>
    <row r="106" spans="1:17" s="25" customFormat="1" ht="18.75" hidden="1">
      <c r="A106" s="28"/>
      <c r="B106" s="28"/>
      <c r="C106" s="44"/>
      <c r="D106" s="44"/>
      <c r="E106" s="45"/>
      <c r="F106" s="46"/>
      <c r="G106" s="129"/>
      <c r="H106" s="131"/>
      <c r="I106" s="60"/>
      <c r="J106" s="28"/>
      <c r="M106" s="61">
        <v>91</v>
      </c>
      <c r="N106" s="62" t="s">
        <v>119</v>
      </c>
      <c r="O106" s="56" t="s">
        <v>125</v>
      </c>
      <c r="P106" s="51"/>
      <c r="Q106" s="51"/>
    </row>
    <row r="107" spans="1:17" s="25" customFormat="1" ht="18.75" hidden="1">
      <c r="A107" s="28"/>
      <c r="B107" s="28"/>
      <c r="C107" s="44"/>
      <c r="D107" s="44"/>
      <c r="E107" s="45"/>
      <c r="F107" s="46"/>
      <c r="G107" s="129"/>
      <c r="H107" s="131"/>
      <c r="I107" s="60"/>
      <c r="J107" s="28"/>
      <c r="M107" s="61">
        <v>92</v>
      </c>
      <c r="N107" s="62" t="s">
        <v>120</v>
      </c>
      <c r="O107" s="56" t="s">
        <v>125</v>
      </c>
      <c r="P107" s="67"/>
      <c r="Q107" s="67"/>
    </row>
    <row r="108" spans="1:17" s="25" customFormat="1" ht="18.75" hidden="1">
      <c r="A108" s="28"/>
      <c r="B108" s="28"/>
      <c r="C108" s="44"/>
      <c r="D108" s="44"/>
      <c r="E108" s="45"/>
      <c r="F108" s="46"/>
      <c r="G108" s="129"/>
      <c r="H108" s="131"/>
      <c r="I108" s="60"/>
      <c r="J108" s="28"/>
      <c r="M108" s="66"/>
      <c r="N108" s="65"/>
      <c r="O108" s="68"/>
      <c r="P108" s="67"/>
      <c r="Q108" s="67"/>
    </row>
    <row r="109" spans="1:17" s="25" customFormat="1" ht="18.75" hidden="1">
      <c r="A109" s="28"/>
      <c r="B109" s="28"/>
      <c r="C109" s="44"/>
      <c r="D109" s="44"/>
      <c r="E109" s="45"/>
      <c r="F109" s="46"/>
      <c r="G109" s="129"/>
      <c r="H109" s="131"/>
      <c r="I109" s="60"/>
      <c r="J109" s="28"/>
      <c r="M109" s="66"/>
      <c r="N109" s="65"/>
      <c r="O109" s="68"/>
      <c r="P109" s="67"/>
      <c r="Q109" s="67"/>
    </row>
    <row r="110" spans="1:17" s="25" customFormat="1" ht="18.75" hidden="1">
      <c r="A110" s="28"/>
      <c r="B110" s="28"/>
      <c r="C110" s="44"/>
      <c r="D110" s="44"/>
      <c r="E110" s="45"/>
      <c r="F110" s="46"/>
      <c r="G110" s="129"/>
      <c r="H110" s="131"/>
      <c r="I110" s="60"/>
      <c r="J110" s="28"/>
      <c r="M110" s="66"/>
      <c r="N110" s="65"/>
      <c r="O110" s="68"/>
      <c r="P110" s="67"/>
      <c r="Q110" s="67"/>
    </row>
    <row r="111" spans="1:17" s="25" customFormat="1" ht="18.75" hidden="1">
      <c r="A111" s="28"/>
      <c r="B111" s="28"/>
      <c r="C111" s="44"/>
      <c r="D111" s="44"/>
      <c r="E111" s="45"/>
      <c r="F111" s="46"/>
      <c r="G111" s="129"/>
      <c r="H111" s="131"/>
      <c r="I111" s="60"/>
      <c r="J111" s="28"/>
      <c r="M111" s="66"/>
      <c r="N111" s="65"/>
      <c r="O111" s="68"/>
      <c r="P111" s="67"/>
      <c r="Q111" s="67"/>
    </row>
    <row r="112" spans="1:17" s="25" customFormat="1" hidden="1">
      <c r="A112" s="28"/>
      <c r="B112" s="28"/>
      <c r="C112" s="44"/>
      <c r="D112" s="44"/>
      <c r="E112" s="45"/>
      <c r="F112" s="46"/>
      <c r="G112" s="129"/>
      <c r="H112" s="131"/>
      <c r="I112" s="60"/>
      <c r="J112" s="28"/>
      <c r="M112" s="69"/>
      <c r="N112" s="70"/>
      <c r="O112" s="70"/>
      <c r="P112" s="67"/>
      <c r="Q112" s="67"/>
    </row>
    <row r="113" spans="1:17" s="25" customFormat="1" hidden="1">
      <c r="A113" s="28"/>
      <c r="B113" s="28"/>
      <c r="C113" s="44"/>
      <c r="D113" s="44"/>
      <c r="E113" s="45"/>
      <c r="F113" s="46"/>
      <c r="G113" s="129"/>
      <c r="H113" s="131"/>
      <c r="I113" s="60"/>
      <c r="J113" s="28"/>
      <c r="M113" s="69"/>
      <c r="N113" s="70"/>
      <c r="O113" s="70"/>
      <c r="P113" s="67"/>
      <c r="Q113" s="67"/>
    </row>
    <row r="114" spans="1:17" s="25" customFormat="1" hidden="1">
      <c r="A114" s="28"/>
      <c r="B114" s="28"/>
      <c r="C114" s="44"/>
      <c r="D114" s="44"/>
      <c r="E114" s="45"/>
      <c r="F114" s="46"/>
      <c r="G114" s="129"/>
      <c r="H114" s="131"/>
      <c r="I114" s="60"/>
      <c r="J114" s="28"/>
      <c r="M114" s="69"/>
      <c r="N114" s="70"/>
      <c r="O114" s="70"/>
      <c r="P114" s="67"/>
      <c r="Q114" s="67"/>
    </row>
    <row r="115" spans="1:17" s="25" customFormat="1" hidden="1">
      <c r="A115" s="28"/>
      <c r="B115" s="28"/>
      <c r="C115" s="44"/>
      <c r="D115" s="44"/>
      <c r="E115" s="45"/>
      <c r="F115" s="46"/>
      <c r="G115" s="129"/>
      <c r="H115" s="131"/>
      <c r="I115" s="60"/>
      <c r="J115" s="28"/>
      <c r="M115" s="69"/>
      <c r="N115" s="70"/>
      <c r="O115" s="70"/>
      <c r="P115" s="67"/>
      <c r="Q115" s="67"/>
    </row>
    <row r="116" spans="1:17" s="25" customFormat="1" hidden="1">
      <c r="A116" s="28"/>
      <c r="B116" s="28"/>
      <c r="C116" s="44"/>
      <c r="D116" s="44"/>
      <c r="E116" s="45"/>
      <c r="F116" s="46"/>
      <c r="G116" s="129"/>
      <c r="H116" s="131"/>
      <c r="I116" s="60"/>
      <c r="J116" s="28"/>
      <c r="M116" s="69"/>
      <c r="N116" s="70"/>
      <c r="O116" s="70"/>
      <c r="P116" s="67"/>
      <c r="Q116" s="67"/>
    </row>
    <row r="117" spans="1:17" s="25" customFormat="1" hidden="1">
      <c r="A117" s="28"/>
      <c r="B117" s="28"/>
      <c r="C117" s="44"/>
      <c r="D117" s="44"/>
      <c r="E117" s="45"/>
      <c r="F117" s="46"/>
      <c r="G117" s="129"/>
      <c r="H117" s="131"/>
      <c r="I117" s="60"/>
      <c r="J117" s="28"/>
      <c r="M117" s="69"/>
      <c r="N117" s="70"/>
      <c r="O117" s="70"/>
      <c r="P117" s="67"/>
      <c r="Q117" s="67"/>
    </row>
    <row r="118" spans="1:17" s="25" customFormat="1" hidden="1">
      <c r="A118" s="28"/>
      <c r="B118" s="28"/>
      <c r="C118" s="44"/>
      <c r="D118" s="44"/>
      <c r="E118" s="45"/>
      <c r="F118" s="46"/>
      <c r="G118" s="129"/>
      <c r="H118" s="131"/>
      <c r="I118" s="60"/>
      <c r="J118" s="28"/>
      <c r="M118" s="69"/>
      <c r="N118" s="70"/>
      <c r="O118" s="70"/>
      <c r="P118" s="67"/>
      <c r="Q118" s="67"/>
    </row>
    <row r="119" spans="1:17" s="25" customFormat="1" hidden="1">
      <c r="A119" s="28"/>
      <c r="B119" s="28"/>
      <c r="C119" s="44"/>
      <c r="D119" s="44"/>
      <c r="E119" s="45"/>
      <c r="F119" s="46"/>
      <c r="G119" s="129"/>
      <c r="H119" s="131"/>
      <c r="I119" s="60"/>
      <c r="J119" s="28"/>
      <c r="M119" s="69"/>
      <c r="N119" s="70"/>
      <c r="O119" s="70"/>
      <c r="P119" s="67"/>
      <c r="Q119" s="67"/>
    </row>
    <row r="120" spans="1:17" s="25" customFormat="1" hidden="1">
      <c r="A120" s="28"/>
      <c r="B120" s="28"/>
      <c r="C120" s="44"/>
      <c r="D120" s="44"/>
      <c r="E120" s="45"/>
      <c r="F120" s="46"/>
      <c r="G120" s="129"/>
      <c r="H120" s="131"/>
      <c r="I120" s="60"/>
      <c r="J120" s="28"/>
      <c r="M120" s="69"/>
      <c r="N120" s="70"/>
      <c r="O120" s="70"/>
      <c r="P120" s="67"/>
      <c r="Q120" s="67"/>
    </row>
    <row r="121" spans="1:17" s="25" customFormat="1" hidden="1">
      <c r="A121" s="28"/>
      <c r="B121" s="28"/>
      <c r="C121" s="44"/>
      <c r="D121" s="44"/>
      <c r="E121" s="45"/>
      <c r="F121" s="46"/>
      <c r="G121" s="129"/>
      <c r="H121" s="131"/>
      <c r="I121" s="60"/>
      <c r="J121" s="28"/>
      <c r="M121" s="71"/>
      <c r="N121" s="72"/>
      <c r="O121" s="72"/>
      <c r="P121" s="29"/>
      <c r="Q121" s="29"/>
    </row>
    <row r="122" spans="1:17" s="25" customFormat="1" hidden="1">
      <c r="A122" s="28"/>
      <c r="B122" s="28"/>
      <c r="C122" s="44"/>
      <c r="D122" s="44"/>
      <c r="E122" s="45"/>
      <c r="F122" s="46"/>
      <c r="G122" s="129"/>
      <c r="H122" s="131"/>
      <c r="I122" s="60"/>
      <c r="J122" s="28"/>
      <c r="M122" s="71"/>
      <c r="N122" s="72"/>
      <c r="O122" s="72"/>
      <c r="P122" s="29"/>
      <c r="Q122" s="29"/>
    </row>
    <row r="123" spans="1:17" s="25" customFormat="1" hidden="1">
      <c r="A123" s="28"/>
      <c r="B123" s="28"/>
      <c r="C123" s="44"/>
      <c r="D123" s="44"/>
      <c r="E123" s="45"/>
      <c r="F123" s="46"/>
      <c r="G123" s="129"/>
      <c r="H123" s="131"/>
      <c r="I123" s="60"/>
      <c r="J123" s="28"/>
      <c r="M123" s="71"/>
      <c r="N123" s="72"/>
      <c r="O123" s="72"/>
      <c r="P123" s="29"/>
      <c r="Q123" s="29"/>
    </row>
    <row r="124" spans="1:17" s="25" customFormat="1" hidden="1">
      <c r="A124" s="28"/>
      <c r="B124" s="28"/>
      <c r="C124" s="44"/>
      <c r="D124" s="44"/>
      <c r="E124" s="45"/>
      <c r="F124" s="46"/>
      <c r="G124" s="129"/>
      <c r="H124" s="131"/>
      <c r="I124" s="60"/>
      <c r="J124" s="28"/>
      <c r="M124" s="71"/>
      <c r="N124" s="72"/>
      <c r="O124" s="72"/>
      <c r="P124" s="29"/>
      <c r="Q124" s="29"/>
    </row>
    <row r="125" spans="1:17" s="25" customFormat="1" hidden="1">
      <c r="A125" s="28"/>
      <c r="B125" s="28"/>
      <c r="C125" s="44"/>
      <c r="D125" s="44"/>
      <c r="E125" s="45"/>
      <c r="F125" s="46"/>
      <c r="G125" s="129"/>
      <c r="H125" s="131"/>
      <c r="I125" s="60"/>
      <c r="J125" s="28"/>
      <c r="M125" s="71"/>
      <c r="N125" s="72"/>
      <c r="O125" s="72"/>
      <c r="P125" s="29"/>
      <c r="Q125" s="29"/>
    </row>
    <row r="126" spans="1:17" s="25" customFormat="1" hidden="1">
      <c r="A126" s="28"/>
      <c r="B126" s="28"/>
      <c r="C126" s="44"/>
      <c r="D126" s="44"/>
      <c r="E126" s="45"/>
      <c r="F126" s="46"/>
      <c r="G126" s="129"/>
      <c r="H126" s="131"/>
      <c r="I126" s="60"/>
      <c r="J126" s="28"/>
      <c r="M126" s="71"/>
      <c r="N126" s="72"/>
      <c r="O126" s="72"/>
      <c r="P126" s="29"/>
      <c r="Q126" s="29"/>
    </row>
    <row r="127" spans="1:17" s="25" customFormat="1" hidden="1">
      <c r="A127" s="28"/>
      <c r="B127" s="28"/>
      <c r="C127" s="44"/>
      <c r="D127" s="44"/>
      <c r="E127" s="45"/>
      <c r="F127" s="46"/>
      <c r="G127" s="129"/>
      <c r="H127" s="131"/>
      <c r="I127" s="60"/>
      <c r="J127" s="28"/>
      <c r="M127" s="71"/>
      <c r="N127" s="72"/>
      <c r="O127" s="72"/>
      <c r="P127" s="29"/>
      <c r="Q127" s="29"/>
    </row>
    <row r="128" spans="1:17" s="25" customFormat="1" hidden="1">
      <c r="A128" s="28"/>
      <c r="B128" s="28"/>
      <c r="C128" s="44"/>
      <c r="D128" s="44"/>
      <c r="E128" s="45"/>
      <c r="F128" s="46"/>
      <c r="G128" s="129"/>
      <c r="H128" s="131"/>
      <c r="I128" s="60"/>
      <c r="J128" s="28"/>
      <c r="M128" s="71"/>
      <c r="N128" s="72"/>
      <c r="O128" s="72"/>
      <c r="P128" s="29"/>
      <c r="Q128" s="29"/>
    </row>
    <row r="129" spans="1:17" s="25" customFormat="1" hidden="1">
      <c r="A129" s="28"/>
      <c r="B129" s="28"/>
      <c r="C129" s="44"/>
      <c r="D129" s="44"/>
      <c r="E129" s="45"/>
      <c r="F129" s="46"/>
      <c r="G129" s="129"/>
      <c r="H129" s="131"/>
      <c r="I129" s="60"/>
      <c r="J129" s="28"/>
      <c r="M129" s="71"/>
      <c r="N129" s="72"/>
      <c r="O129" s="72"/>
      <c r="P129" s="29"/>
      <c r="Q129" s="29"/>
    </row>
    <row r="130" spans="1:17" s="25" customFormat="1" hidden="1">
      <c r="A130" s="28"/>
      <c r="B130" s="28"/>
      <c r="C130" s="44"/>
      <c r="D130" s="44"/>
      <c r="E130" s="45"/>
      <c r="F130" s="46"/>
      <c r="G130" s="129"/>
      <c r="H130" s="131"/>
      <c r="I130" s="60"/>
      <c r="J130" s="28"/>
      <c r="M130" s="71"/>
      <c r="N130" s="72"/>
      <c r="O130" s="72"/>
      <c r="P130" s="29"/>
      <c r="Q130" s="29"/>
    </row>
    <row r="131" spans="1:17" s="25" customFormat="1" hidden="1">
      <c r="A131" s="28"/>
      <c r="B131" s="28"/>
      <c r="C131" s="44"/>
      <c r="D131" s="44"/>
      <c r="E131" s="45"/>
      <c r="F131" s="46"/>
      <c r="G131" s="129"/>
      <c r="H131" s="131"/>
      <c r="I131" s="60"/>
      <c r="J131" s="28"/>
      <c r="M131" s="71"/>
      <c r="N131" s="72"/>
      <c r="O131" s="72"/>
      <c r="P131" s="29"/>
      <c r="Q131" s="29"/>
    </row>
    <row r="132" spans="1:17" s="25" customFormat="1" hidden="1">
      <c r="A132" s="28"/>
      <c r="B132" s="28"/>
      <c r="C132" s="44"/>
      <c r="D132" s="44"/>
      <c r="E132" s="45"/>
      <c r="F132" s="46"/>
      <c r="G132" s="129"/>
      <c r="H132" s="131"/>
      <c r="I132" s="60"/>
      <c r="J132" s="28"/>
      <c r="M132" s="71"/>
      <c r="N132" s="72"/>
      <c r="O132" s="72"/>
      <c r="P132" s="29"/>
      <c r="Q132" s="29"/>
    </row>
    <row r="133" spans="1:17" s="25" customFormat="1" hidden="1">
      <c r="A133" s="28"/>
      <c r="B133" s="28"/>
      <c r="C133" s="44"/>
      <c r="D133" s="44"/>
      <c r="E133" s="45"/>
      <c r="F133" s="46"/>
      <c r="G133" s="129"/>
      <c r="H133" s="131"/>
      <c r="I133" s="60"/>
      <c r="J133" s="28"/>
      <c r="M133" s="71"/>
      <c r="N133" s="72"/>
      <c r="O133" s="72"/>
      <c r="P133" s="29"/>
      <c r="Q133" s="29"/>
    </row>
    <row r="134" spans="1:17" s="25" customFormat="1" hidden="1">
      <c r="A134" s="28"/>
      <c r="B134" s="28"/>
      <c r="C134" s="44"/>
      <c r="D134" s="44"/>
      <c r="E134" s="45"/>
      <c r="F134" s="46"/>
      <c r="G134" s="129"/>
      <c r="H134" s="131"/>
      <c r="I134" s="60"/>
      <c r="J134" s="28"/>
      <c r="M134" s="71"/>
      <c r="N134" s="72"/>
      <c r="O134" s="72"/>
      <c r="P134" s="29"/>
      <c r="Q134" s="29"/>
    </row>
    <row r="135" spans="1:17" s="25" customFormat="1" hidden="1">
      <c r="A135" s="28"/>
      <c r="B135" s="28"/>
      <c r="C135" s="44"/>
      <c r="D135" s="44"/>
      <c r="E135" s="45"/>
      <c r="F135" s="46"/>
      <c r="G135" s="129"/>
      <c r="H135" s="131"/>
      <c r="I135" s="60"/>
      <c r="J135" s="28"/>
      <c r="M135" s="71"/>
      <c r="N135" s="72"/>
      <c r="O135" s="72"/>
      <c r="P135" s="29"/>
      <c r="Q135" s="29"/>
    </row>
    <row r="136" spans="1:17" s="25" customFormat="1" hidden="1">
      <c r="A136" s="28"/>
      <c r="B136" s="28"/>
      <c r="C136" s="44"/>
      <c r="D136" s="44"/>
      <c r="E136" s="45"/>
      <c r="F136" s="46"/>
      <c r="G136" s="129"/>
      <c r="H136" s="131"/>
      <c r="I136" s="60"/>
      <c r="J136" s="28"/>
      <c r="M136" s="71"/>
      <c r="N136" s="72"/>
      <c r="O136" s="72"/>
      <c r="P136" s="29"/>
      <c r="Q136" s="29"/>
    </row>
    <row r="137" spans="1:17" s="25" customFormat="1" hidden="1">
      <c r="A137" s="28"/>
      <c r="B137" s="28"/>
      <c r="C137" s="44"/>
      <c r="D137" s="44"/>
      <c r="E137" s="45"/>
      <c r="F137" s="46"/>
      <c r="G137" s="129"/>
      <c r="H137" s="131"/>
      <c r="I137" s="60"/>
      <c r="J137" s="28"/>
      <c r="M137" s="71"/>
      <c r="N137" s="72"/>
      <c r="O137" s="72"/>
      <c r="P137" s="29"/>
      <c r="Q137" s="29"/>
    </row>
    <row r="138" spans="1:17" s="25" customFormat="1" hidden="1">
      <c r="A138" s="28"/>
      <c r="B138" s="28"/>
      <c r="C138" s="44"/>
      <c r="D138" s="44"/>
      <c r="E138" s="45"/>
      <c r="F138" s="46"/>
      <c r="G138" s="129"/>
      <c r="H138" s="131"/>
      <c r="I138" s="60"/>
      <c r="J138" s="28"/>
      <c r="M138" s="71"/>
      <c r="N138" s="72"/>
      <c r="O138" s="72"/>
      <c r="P138" s="29"/>
      <c r="Q138" s="29"/>
    </row>
    <row r="139" spans="1:17" s="25" customFormat="1" hidden="1">
      <c r="A139" s="28"/>
      <c r="B139" s="28"/>
      <c r="C139" s="44"/>
      <c r="D139" s="44"/>
      <c r="E139" s="45"/>
      <c r="F139" s="46"/>
      <c r="G139" s="129"/>
      <c r="H139" s="131"/>
      <c r="I139" s="60"/>
      <c r="J139" s="28"/>
      <c r="M139" s="71"/>
      <c r="N139" s="72"/>
      <c r="O139" s="72"/>
      <c r="P139" s="29"/>
      <c r="Q139" s="29"/>
    </row>
    <row r="140" spans="1:17" s="25" customFormat="1" hidden="1">
      <c r="A140" s="28"/>
      <c r="B140" s="28"/>
      <c r="C140" s="44"/>
      <c r="D140" s="44"/>
      <c r="E140" s="45"/>
      <c r="F140" s="46"/>
      <c r="G140" s="129"/>
      <c r="H140" s="131"/>
      <c r="I140" s="60"/>
      <c r="J140" s="28"/>
      <c r="M140" s="71"/>
      <c r="N140" s="72"/>
      <c r="O140" s="72"/>
      <c r="P140" s="29"/>
      <c r="Q140" s="29"/>
    </row>
    <row r="141" spans="1:17" s="25" customFormat="1" hidden="1">
      <c r="A141" s="28"/>
      <c r="B141" s="28"/>
      <c r="C141" s="44"/>
      <c r="D141" s="44"/>
      <c r="E141" s="45"/>
      <c r="F141" s="46"/>
      <c r="G141" s="129"/>
      <c r="H141" s="131"/>
      <c r="I141" s="60"/>
      <c r="J141" s="28"/>
      <c r="M141" s="71"/>
      <c r="N141" s="72"/>
      <c r="O141" s="72"/>
      <c r="P141" s="29"/>
      <c r="Q141" s="29"/>
    </row>
    <row r="142" spans="1:17" s="25" customFormat="1" hidden="1">
      <c r="A142" s="28"/>
      <c r="B142" s="28"/>
      <c r="C142" s="44"/>
      <c r="D142" s="44"/>
      <c r="E142" s="45"/>
      <c r="F142" s="46"/>
      <c r="G142" s="129"/>
      <c r="H142" s="131"/>
      <c r="I142" s="60"/>
      <c r="J142" s="28"/>
      <c r="M142" s="71"/>
      <c r="N142" s="72"/>
      <c r="O142" s="72"/>
      <c r="P142" s="29"/>
      <c r="Q142" s="29"/>
    </row>
    <row r="143" spans="1:17" s="25" customFormat="1" hidden="1">
      <c r="A143" s="28"/>
      <c r="B143" s="28"/>
      <c r="C143" s="44"/>
      <c r="D143" s="44"/>
      <c r="E143" s="45"/>
      <c r="F143" s="46"/>
      <c r="G143" s="129"/>
      <c r="H143" s="131"/>
      <c r="I143" s="60"/>
      <c r="J143" s="28"/>
      <c r="M143" s="71"/>
      <c r="N143" s="72"/>
      <c r="O143" s="72"/>
      <c r="P143" s="29"/>
      <c r="Q143" s="29"/>
    </row>
    <row r="144" spans="1:17" s="25" customFormat="1" hidden="1">
      <c r="A144" s="28"/>
      <c r="B144" s="28"/>
      <c r="C144" s="44"/>
      <c r="D144" s="44"/>
      <c r="E144" s="45"/>
      <c r="F144" s="46"/>
      <c r="G144" s="129"/>
      <c r="H144" s="131"/>
      <c r="I144" s="60"/>
      <c r="J144" s="28"/>
      <c r="M144" s="71"/>
      <c r="N144" s="72"/>
      <c r="O144" s="72"/>
      <c r="P144" s="29"/>
      <c r="Q144" s="29"/>
    </row>
    <row r="145" spans="1:20" s="24" customFormat="1" ht="22.5" customHeight="1">
      <c r="A145" s="73">
        <v>1</v>
      </c>
      <c r="B145" s="74"/>
      <c r="C145" s="75" t="e">
        <f t="shared" ref="C145:C176" si="4">VLOOKUP(B145,$M$16:$N$144,2,FALSE)</f>
        <v>#N/A</v>
      </c>
      <c r="D145" s="75" t="e">
        <f t="shared" ref="D145:D176" si="5">VLOOKUP(B145,$M$16:$O$144,3,FALSE)</f>
        <v>#N/A</v>
      </c>
      <c r="E145" s="134"/>
      <c r="F145" s="77"/>
      <c r="G145" s="130">
        <f>DATEDIF(F145,H145,"Y")</f>
        <v>126</v>
      </c>
      <c r="H145" s="132">
        <v>46387</v>
      </c>
      <c r="I145" s="81" t="e">
        <f>VLOOKUP(G145,$P$16:$Q$144,2,FALSE)</f>
        <v>#N/A</v>
      </c>
      <c r="J145" s="82"/>
      <c r="K145" s="171">
        <f>E7</f>
        <v>0</v>
      </c>
      <c r="L145" s="171"/>
      <c r="M145" s="51"/>
      <c r="N145" s="55"/>
      <c r="O145" s="55"/>
      <c r="P145" s="56"/>
      <c r="Q145" s="56"/>
      <c r="R145" s="65"/>
      <c r="S145" s="65"/>
      <c r="T145" s="65"/>
    </row>
    <row r="146" spans="1:20" s="24" customFormat="1" ht="17.25" customHeight="1">
      <c r="A146" s="78">
        <v>2</v>
      </c>
      <c r="B146" s="79"/>
      <c r="C146" s="75" t="e">
        <f t="shared" si="4"/>
        <v>#N/A</v>
      </c>
      <c r="D146" s="75" t="e">
        <f t="shared" si="5"/>
        <v>#N/A</v>
      </c>
      <c r="E146" s="134"/>
      <c r="F146" s="77"/>
      <c r="G146" s="130">
        <f t="shared" ref="G146:G176" si="6">DATEDIF(F146,H146,"Y")</f>
        <v>126</v>
      </c>
      <c r="H146" s="132">
        <f>H145</f>
        <v>46387</v>
      </c>
      <c r="I146" s="81" t="e">
        <f t="shared" ref="I146:I176" si="7">VLOOKUP(G146,$P$16:$Q$144,2,FALSE)</f>
        <v>#N/A</v>
      </c>
      <c r="J146" s="83"/>
      <c r="K146" s="171">
        <f>K145</f>
        <v>0</v>
      </c>
      <c r="L146" s="171"/>
      <c r="M146" s="51"/>
      <c r="N146" s="55"/>
      <c r="O146" s="55"/>
      <c r="P146" s="56"/>
      <c r="Q146" s="56"/>
      <c r="R146" s="65"/>
      <c r="S146" s="65"/>
      <c r="T146" s="65"/>
    </row>
    <row r="147" spans="1:20" s="24" customFormat="1" ht="17.25" customHeight="1">
      <c r="A147" s="78">
        <v>3</v>
      </c>
      <c r="B147" s="79"/>
      <c r="C147" s="75" t="e">
        <f t="shared" si="4"/>
        <v>#N/A</v>
      </c>
      <c r="D147" s="75" t="e">
        <f t="shared" si="5"/>
        <v>#N/A</v>
      </c>
      <c r="E147" s="134"/>
      <c r="F147" s="77"/>
      <c r="G147" s="130">
        <f t="shared" si="6"/>
        <v>126</v>
      </c>
      <c r="H147" s="132">
        <f t="shared" ref="H147:H210" si="8">H146</f>
        <v>46387</v>
      </c>
      <c r="I147" s="81" t="e">
        <f t="shared" si="7"/>
        <v>#N/A</v>
      </c>
      <c r="J147" s="83"/>
      <c r="K147" s="171">
        <f t="shared" ref="K147:K210" si="9">K146</f>
        <v>0</v>
      </c>
      <c r="L147" s="171"/>
      <c r="M147" s="51"/>
      <c r="N147" s="55"/>
      <c r="O147" s="55"/>
      <c r="P147" s="56"/>
      <c r="Q147" s="56"/>
      <c r="R147" s="65"/>
      <c r="S147" s="65"/>
      <c r="T147" s="65"/>
    </row>
    <row r="148" spans="1:20" s="24" customFormat="1" ht="17.25" customHeight="1">
      <c r="A148" s="78">
        <v>4</v>
      </c>
      <c r="B148" s="79"/>
      <c r="C148" s="75" t="e">
        <f t="shared" si="4"/>
        <v>#N/A</v>
      </c>
      <c r="D148" s="75" t="e">
        <f t="shared" si="5"/>
        <v>#N/A</v>
      </c>
      <c r="E148" s="134"/>
      <c r="F148" s="77"/>
      <c r="G148" s="130">
        <f t="shared" si="6"/>
        <v>126</v>
      </c>
      <c r="H148" s="132">
        <f t="shared" si="8"/>
        <v>46387</v>
      </c>
      <c r="I148" s="81" t="e">
        <f t="shared" si="7"/>
        <v>#N/A</v>
      </c>
      <c r="J148" s="83"/>
      <c r="K148" s="171">
        <f t="shared" si="9"/>
        <v>0</v>
      </c>
      <c r="L148" s="171"/>
      <c r="M148" s="51"/>
      <c r="N148" s="55"/>
      <c r="O148" s="55"/>
      <c r="P148" s="56"/>
      <c r="Q148" s="56"/>
      <c r="R148" s="65"/>
      <c r="S148" s="65"/>
      <c r="T148" s="65"/>
    </row>
    <row r="149" spans="1:20" s="24" customFormat="1" ht="17.25" customHeight="1">
      <c r="A149" s="78">
        <v>5</v>
      </c>
      <c r="B149" s="79"/>
      <c r="C149" s="75" t="e">
        <f t="shared" si="4"/>
        <v>#N/A</v>
      </c>
      <c r="D149" s="75" t="e">
        <f t="shared" si="5"/>
        <v>#N/A</v>
      </c>
      <c r="E149" s="134"/>
      <c r="F149" s="77"/>
      <c r="G149" s="130">
        <f t="shared" si="6"/>
        <v>126</v>
      </c>
      <c r="H149" s="132">
        <f t="shared" si="8"/>
        <v>46387</v>
      </c>
      <c r="I149" s="81" t="e">
        <f>VLOOKUP(G149,$P$16:$Q$144,2,FALSE)</f>
        <v>#N/A</v>
      </c>
      <c r="J149" s="83"/>
      <c r="K149" s="171">
        <f t="shared" si="9"/>
        <v>0</v>
      </c>
      <c r="L149" s="171"/>
      <c r="M149" s="51"/>
      <c r="N149" s="55"/>
      <c r="O149" s="55"/>
      <c r="P149" s="56"/>
      <c r="Q149" s="56"/>
      <c r="R149" s="65"/>
      <c r="S149" s="65"/>
      <c r="T149" s="65"/>
    </row>
    <row r="150" spans="1:20" s="24" customFormat="1" ht="17.25" customHeight="1">
      <c r="A150" s="78">
        <v>6</v>
      </c>
      <c r="B150" s="79"/>
      <c r="C150" s="75" t="e">
        <f t="shared" si="4"/>
        <v>#N/A</v>
      </c>
      <c r="D150" s="75" t="e">
        <f t="shared" si="5"/>
        <v>#N/A</v>
      </c>
      <c r="E150" s="134"/>
      <c r="F150" s="77"/>
      <c r="G150" s="130">
        <f>DATEDIF(F150,H150,"Y")</f>
        <v>126</v>
      </c>
      <c r="H150" s="132">
        <f t="shared" si="8"/>
        <v>46387</v>
      </c>
      <c r="I150" s="133" t="e">
        <f>VLOOKUP(G150,$P$16:$Q$144,2,FALSE)</f>
        <v>#N/A</v>
      </c>
      <c r="J150" s="83"/>
      <c r="K150" s="171">
        <f t="shared" si="9"/>
        <v>0</v>
      </c>
      <c r="L150" s="171"/>
      <c r="M150" s="51"/>
      <c r="N150" s="55"/>
      <c r="O150" s="55"/>
      <c r="P150" s="56"/>
      <c r="Q150" s="56"/>
      <c r="R150" s="65"/>
      <c r="S150" s="65"/>
      <c r="T150" s="65"/>
    </row>
    <row r="151" spans="1:20" s="24" customFormat="1" ht="17.25" customHeight="1">
      <c r="A151" s="78">
        <v>7</v>
      </c>
      <c r="B151" s="79"/>
      <c r="C151" s="75" t="e">
        <f t="shared" si="4"/>
        <v>#N/A</v>
      </c>
      <c r="D151" s="75" t="e">
        <f t="shared" si="5"/>
        <v>#N/A</v>
      </c>
      <c r="E151" s="134"/>
      <c r="F151" s="77"/>
      <c r="G151" s="130">
        <f t="shared" si="6"/>
        <v>126</v>
      </c>
      <c r="H151" s="132">
        <f t="shared" si="8"/>
        <v>46387</v>
      </c>
      <c r="I151" s="133" t="e">
        <f>VLOOKUP(G151,$P$16:$Q$144,2,FALSE)</f>
        <v>#N/A</v>
      </c>
      <c r="J151" s="83"/>
      <c r="K151" s="171">
        <f t="shared" si="9"/>
        <v>0</v>
      </c>
      <c r="L151" s="171"/>
      <c r="M151" s="51"/>
      <c r="N151" s="55"/>
      <c r="O151" s="55"/>
      <c r="P151" s="56"/>
      <c r="Q151" s="56"/>
      <c r="R151" s="65"/>
      <c r="S151" s="65"/>
      <c r="T151" s="65"/>
    </row>
    <row r="152" spans="1:20" s="24" customFormat="1" ht="17.25" customHeight="1">
      <c r="A152" s="78">
        <v>8</v>
      </c>
      <c r="B152" s="79"/>
      <c r="C152" s="75" t="e">
        <f t="shared" si="4"/>
        <v>#N/A</v>
      </c>
      <c r="D152" s="75" t="e">
        <f t="shared" si="5"/>
        <v>#N/A</v>
      </c>
      <c r="E152" s="134"/>
      <c r="F152" s="77"/>
      <c r="G152" s="130">
        <f t="shared" si="6"/>
        <v>126</v>
      </c>
      <c r="H152" s="132">
        <f t="shared" si="8"/>
        <v>46387</v>
      </c>
      <c r="I152" s="81" t="e">
        <f t="shared" si="7"/>
        <v>#N/A</v>
      </c>
      <c r="J152" s="83"/>
      <c r="K152" s="171">
        <f t="shared" si="9"/>
        <v>0</v>
      </c>
      <c r="L152" s="171"/>
      <c r="M152" s="51"/>
      <c r="N152" s="55"/>
      <c r="O152" s="55"/>
      <c r="P152" s="56"/>
      <c r="Q152" s="56"/>
      <c r="R152" s="65"/>
      <c r="S152" s="65"/>
      <c r="T152" s="65"/>
    </row>
    <row r="153" spans="1:20" s="24" customFormat="1" ht="17.25" customHeight="1">
      <c r="A153" s="78">
        <v>9</v>
      </c>
      <c r="B153" s="79"/>
      <c r="C153" s="75" t="e">
        <f t="shared" si="4"/>
        <v>#N/A</v>
      </c>
      <c r="D153" s="75" t="e">
        <f t="shared" si="5"/>
        <v>#N/A</v>
      </c>
      <c r="E153" s="134"/>
      <c r="F153" s="77"/>
      <c r="G153" s="130">
        <f t="shared" si="6"/>
        <v>126</v>
      </c>
      <c r="H153" s="132">
        <f t="shared" si="8"/>
        <v>46387</v>
      </c>
      <c r="I153" s="81" t="e">
        <f t="shared" si="7"/>
        <v>#N/A</v>
      </c>
      <c r="J153" s="83"/>
      <c r="K153" s="171">
        <f t="shared" si="9"/>
        <v>0</v>
      </c>
      <c r="L153" s="171"/>
      <c r="M153" s="55"/>
      <c r="N153" s="55"/>
      <c r="O153" s="55"/>
      <c r="P153" s="56"/>
      <c r="Q153" s="56"/>
      <c r="R153" s="65"/>
      <c r="S153" s="65"/>
      <c r="T153" s="65"/>
    </row>
    <row r="154" spans="1:20" s="24" customFormat="1" ht="17.25" customHeight="1">
      <c r="A154" s="78">
        <v>10</v>
      </c>
      <c r="B154" s="79"/>
      <c r="C154" s="75" t="e">
        <f t="shared" si="4"/>
        <v>#N/A</v>
      </c>
      <c r="D154" s="75" t="e">
        <f t="shared" si="5"/>
        <v>#N/A</v>
      </c>
      <c r="E154" s="134"/>
      <c r="F154" s="77"/>
      <c r="G154" s="130">
        <f t="shared" si="6"/>
        <v>126</v>
      </c>
      <c r="H154" s="132">
        <f t="shared" si="8"/>
        <v>46387</v>
      </c>
      <c r="I154" s="81" t="e">
        <f t="shared" si="7"/>
        <v>#N/A</v>
      </c>
      <c r="J154" s="83"/>
      <c r="K154" s="171">
        <f t="shared" si="9"/>
        <v>0</v>
      </c>
      <c r="L154" s="171"/>
      <c r="M154" s="55"/>
      <c r="N154" s="55"/>
      <c r="O154" s="55"/>
      <c r="P154" s="56"/>
      <c r="Q154" s="56"/>
      <c r="R154" s="65"/>
      <c r="S154" s="65"/>
      <c r="T154" s="65"/>
    </row>
    <row r="155" spans="1:20" s="24" customFormat="1" ht="17.25" customHeight="1">
      <c r="A155" s="78">
        <v>11</v>
      </c>
      <c r="B155" s="79"/>
      <c r="C155" s="75" t="e">
        <f t="shared" si="4"/>
        <v>#N/A</v>
      </c>
      <c r="D155" s="75" t="e">
        <f t="shared" si="5"/>
        <v>#N/A</v>
      </c>
      <c r="E155" s="134"/>
      <c r="F155" s="77"/>
      <c r="G155" s="130">
        <f t="shared" si="6"/>
        <v>126</v>
      </c>
      <c r="H155" s="132">
        <f t="shared" si="8"/>
        <v>46387</v>
      </c>
      <c r="I155" s="81" t="e">
        <f t="shared" si="7"/>
        <v>#N/A</v>
      </c>
      <c r="J155" s="83"/>
      <c r="K155" s="171">
        <f t="shared" si="9"/>
        <v>0</v>
      </c>
      <c r="L155" s="171"/>
      <c r="M155" s="55"/>
      <c r="N155" s="55"/>
      <c r="O155" s="55"/>
      <c r="P155" s="56"/>
      <c r="Q155" s="56"/>
      <c r="R155" s="65"/>
      <c r="S155" s="65"/>
      <c r="T155" s="65"/>
    </row>
    <row r="156" spans="1:20" s="24" customFormat="1" ht="17.25" customHeight="1">
      <c r="A156" s="78">
        <v>12</v>
      </c>
      <c r="B156" s="79"/>
      <c r="C156" s="75" t="e">
        <f t="shared" si="4"/>
        <v>#N/A</v>
      </c>
      <c r="D156" s="75" t="e">
        <f t="shared" si="5"/>
        <v>#N/A</v>
      </c>
      <c r="E156" s="134"/>
      <c r="F156" s="77"/>
      <c r="G156" s="130">
        <f t="shared" si="6"/>
        <v>126</v>
      </c>
      <c r="H156" s="132">
        <f t="shared" si="8"/>
        <v>46387</v>
      </c>
      <c r="I156" s="81" t="e">
        <f t="shared" si="7"/>
        <v>#N/A</v>
      </c>
      <c r="J156" s="83"/>
      <c r="K156" s="171">
        <f t="shared" si="9"/>
        <v>0</v>
      </c>
      <c r="L156" s="171"/>
      <c r="M156" s="55"/>
      <c r="N156" s="55"/>
      <c r="O156" s="55"/>
      <c r="P156" s="56"/>
      <c r="Q156" s="56"/>
      <c r="R156" s="65"/>
      <c r="S156" s="65"/>
      <c r="T156" s="65"/>
    </row>
    <row r="157" spans="1:20" s="24" customFormat="1" ht="17.25" customHeight="1">
      <c r="A157" s="78">
        <v>13</v>
      </c>
      <c r="B157" s="79"/>
      <c r="C157" s="75" t="e">
        <f t="shared" si="4"/>
        <v>#N/A</v>
      </c>
      <c r="D157" s="75" t="e">
        <f t="shared" si="5"/>
        <v>#N/A</v>
      </c>
      <c r="E157" s="134"/>
      <c r="F157" s="77"/>
      <c r="G157" s="130">
        <f t="shared" si="6"/>
        <v>126</v>
      </c>
      <c r="H157" s="132">
        <f t="shared" si="8"/>
        <v>46387</v>
      </c>
      <c r="I157" s="81" t="e">
        <f t="shared" si="7"/>
        <v>#N/A</v>
      </c>
      <c r="J157" s="83"/>
      <c r="K157" s="171">
        <f t="shared" si="9"/>
        <v>0</v>
      </c>
      <c r="L157" s="171"/>
      <c r="M157" s="55"/>
      <c r="N157" s="55"/>
      <c r="O157" s="55"/>
      <c r="P157" s="56"/>
      <c r="Q157" s="56"/>
      <c r="R157" s="65"/>
      <c r="S157" s="65"/>
      <c r="T157" s="65"/>
    </row>
    <row r="158" spans="1:20" s="24" customFormat="1" ht="17.25" customHeight="1">
      <c r="A158" s="78">
        <v>14</v>
      </c>
      <c r="B158" s="79"/>
      <c r="C158" s="75" t="e">
        <f t="shared" si="4"/>
        <v>#N/A</v>
      </c>
      <c r="D158" s="75" t="e">
        <f t="shared" si="5"/>
        <v>#N/A</v>
      </c>
      <c r="E158" s="134"/>
      <c r="F158" s="77"/>
      <c r="G158" s="130">
        <f t="shared" si="6"/>
        <v>126</v>
      </c>
      <c r="H158" s="132">
        <f t="shared" si="8"/>
        <v>46387</v>
      </c>
      <c r="I158" s="81" t="e">
        <f t="shared" si="7"/>
        <v>#N/A</v>
      </c>
      <c r="J158" s="83"/>
      <c r="K158" s="171">
        <f t="shared" si="9"/>
        <v>0</v>
      </c>
      <c r="L158" s="171"/>
      <c r="M158" s="55"/>
      <c r="N158" s="55"/>
      <c r="O158" s="55"/>
      <c r="P158" s="56"/>
      <c r="Q158" s="56"/>
      <c r="R158" s="65"/>
      <c r="S158" s="65"/>
      <c r="T158" s="65"/>
    </row>
    <row r="159" spans="1:20" s="24" customFormat="1" ht="17.25" customHeight="1">
      <c r="A159" s="78">
        <v>15</v>
      </c>
      <c r="B159" s="79"/>
      <c r="C159" s="75" t="e">
        <f t="shared" si="4"/>
        <v>#N/A</v>
      </c>
      <c r="D159" s="75" t="e">
        <f t="shared" si="5"/>
        <v>#N/A</v>
      </c>
      <c r="E159" s="134"/>
      <c r="F159" s="77"/>
      <c r="G159" s="130">
        <f t="shared" si="6"/>
        <v>126</v>
      </c>
      <c r="H159" s="132">
        <f t="shared" si="8"/>
        <v>46387</v>
      </c>
      <c r="I159" s="81" t="e">
        <f t="shared" si="7"/>
        <v>#N/A</v>
      </c>
      <c r="J159" s="83"/>
      <c r="K159" s="171">
        <f t="shared" si="9"/>
        <v>0</v>
      </c>
      <c r="L159" s="171"/>
      <c r="M159" s="55"/>
      <c r="N159" s="55"/>
      <c r="O159" s="55"/>
      <c r="P159" s="56"/>
      <c r="Q159" s="56"/>
      <c r="R159" s="65"/>
      <c r="S159" s="65"/>
      <c r="T159" s="65"/>
    </row>
    <row r="160" spans="1:20" s="24" customFormat="1" ht="17.25" customHeight="1">
      <c r="A160" s="78">
        <v>16</v>
      </c>
      <c r="B160" s="79"/>
      <c r="C160" s="75" t="e">
        <f t="shared" si="4"/>
        <v>#N/A</v>
      </c>
      <c r="D160" s="75" t="e">
        <f t="shared" si="5"/>
        <v>#N/A</v>
      </c>
      <c r="E160" s="134"/>
      <c r="F160" s="77"/>
      <c r="G160" s="130">
        <f t="shared" si="6"/>
        <v>126</v>
      </c>
      <c r="H160" s="132">
        <f t="shared" si="8"/>
        <v>46387</v>
      </c>
      <c r="I160" s="81" t="e">
        <f t="shared" si="7"/>
        <v>#N/A</v>
      </c>
      <c r="J160" s="83"/>
      <c r="K160" s="171">
        <f t="shared" si="9"/>
        <v>0</v>
      </c>
      <c r="L160" s="171"/>
      <c r="M160" s="55"/>
      <c r="N160" s="55"/>
      <c r="O160" s="55"/>
      <c r="P160" s="56"/>
      <c r="Q160" s="56"/>
      <c r="R160" s="65"/>
      <c r="S160" s="65"/>
      <c r="T160" s="65"/>
    </row>
    <row r="161" spans="1:20" s="24" customFormat="1" ht="17.25" customHeight="1">
      <c r="A161" s="78">
        <v>17</v>
      </c>
      <c r="B161" s="79"/>
      <c r="C161" s="75" t="e">
        <f t="shared" si="4"/>
        <v>#N/A</v>
      </c>
      <c r="D161" s="75" t="e">
        <f t="shared" si="5"/>
        <v>#N/A</v>
      </c>
      <c r="E161" s="134"/>
      <c r="F161" s="77"/>
      <c r="G161" s="130">
        <f t="shared" si="6"/>
        <v>126</v>
      </c>
      <c r="H161" s="132">
        <f t="shared" si="8"/>
        <v>46387</v>
      </c>
      <c r="I161" s="81" t="e">
        <f t="shared" si="7"/>
        <v>#N/A</v>
      </c>
      <c r="J161" s="83"/>
      <c r="K161" s="171">
        <f t="shared" si="9"/>
        <v>0</v>
      </c>
      <c r="L161" s="171"/>
      <c r="M161" s="55"/>
      <c r="N161" s="55"/>
      <c r="O161" s="55"/>
      <c r="P161" s="56"/>
      <c r="Q161" s="56"/>
      <c r="R161" s="65"/>
      <c r="S161" s="65"/>
      <c r="T161" s="65"/>
    </row>
    <row r="162" spans="1:20" s="24" customFormat="1" ht="17.25" customHeight="1">
      <c r="A162" s="78">
        <v>18</v>
      </c>
      <c r="B162" s="79"/>
      <c r="C162" s="75" t="e">
        <f t="shared" si="4"/>
        <v>#N/A</v>
      </c>
      <c r="D162" s="75" t="e">
        <f t="shared" si="5"/>
        <v>#N/A</v>
      </c>
      <c r="E162" s="134"/>
      <c r="F162" s="77"/>
      <c r="G162" s="130">
        <f t="shared" si="6"/>
        <v>126</v>
      </c>
      <c r="H162" s="132">
        <f t="shared" si="8"/>
        <v>46387</v>
      </c>
      <c r="I162" s="81" t="e">
        <f t="shared" si="7"/>
        <v>#N/A</v>
      </c>
      <c r="J162" s="83"/>
      <c r="K162" s="171">
        <f t="shared" si="9"/>
        <v>0</v>
      </c>
      <c r="L162" s="171"/>
      <c r="M162" s="55"/>
      <c r="N162" s="55"/>
      <c r="O162" s="55"/>
      <c r="P162" s="56"/>
      <c r="Q162" s="56"/>
      <c r="R162" s="65"/>
      <c r="S162" s="65"/>
      <c r="T162" s="65"/>
    </row>
    <row r="163" spans="1:20" s="24" customFormat="1" ht="17.25" customHeight="1">
      <c r="A163" s="78">
        <v>19</v>
      </c>
      <c r="B163" s="79"/>
      <c r="C163" s="75" t="e">
        <f t="shared" si="4"/>
        <v>#N/A</v>
      </c>
      <c r="D163" s="75" t="e">
        <f t="shared" si="5"/>
        <v>#N/A</v>
      </c>
      <c r="E163" s="134"/>
      <c r="F163" s="77"/>
      <c r="G163" s="130">
        <f t="shared" si="6"/>
        <v>126</v>
      </c>
      <c r="H163" s="132">
        <f t="shared" si="8"/>
        <v>46387</v>
      </c>
      <c r="I163" s="81" t="e">
        <f t="shared" si="7"/>
        <v>#N/A</v>
      </c>
      <c r="J163" s="83"/>
      <c r="K163" s="171">
        <f t="shared" si="9"/>
        <v>0</v>
      </c>
      <c r="L163" s="171"/>
      <c r="M163" s="55"/>
      <c r="N163" s="55"/>
      <c r="O163" s="55"/>
      <c r="P163" s="56"/>
      <c r="Q163" s="56"/>
      <c r="R163" s="65"/>
      <c r="S163" s="65"/>
      <c r="T163" s="65"/>
    </row>
    <row r="164" spans="1:20" s="24" customFormat="1" ht="17.25" customHeight="1">
      <c r="A164" s="78">
        <v>20</v>
      </c>
      <c r="B164" s="79"/>
      <c r="C164" s="75" t="e">
        <f t="shared" si="4"/>
        <v>#N/A</v>
      </c>
      <c r="D164" s="75" t="e">
        <f t="shared" si="5"/>
        <v>#N/A</v>
      </c>
      <c r="E164" s="134"/>
      <c r="F164" s="77"/>
      <c r="G164" s="130">
        <f t="shared" si="6"/>
        <v>126</v>
      </c>
      <c r="H164" s="132">
        <f t="shared" si="8"/>
        <v>46387</v>
      </c>
      <c r="I164" s="81" t="e">
        <f t="shared" si="7"/>
        <v>#N/A</v>
      </c>
      <c r="J164" s="83"/>
      <c r="K164" s="171">
        <f t="shared" si="9"/>
        <v>0</v>
      </c>
      <c r="L164" s="171"/>
      <c r="M164" s="55"/>
      <c r="N164" s="55"/>
      <c r="O164" s="55"/>
      <c r="P164" s="56"/>
      <c r="Q164" s="56"/>
      <c r="R164" s="65"/>
      <c r="S164" s="65"/>
      <c r="T164" s="65"/>
    </row>
    <row r="165" spans="1:20" s="24" customFormat="1" ht="17.25" customHeight="1">
      <c r="A165" s="78">
        <v>21</v>
      </c>
      <c r="B165" s="79"/>
      <c r="C165" s="75" t="e">
        <f t="shared" si="4"/>
        <v>#N/A</v>
      </c>
      <c r="D165" s="75" t="e">
        <f t="shared" si="5"/>
        <v>#N/A</v>
      </c>
      <c r="E165" s="134"/>
      <c r="F165" s="77"/>
      <c r="G165" s="130">
        <f t="shared" si="6"/>
        <v>126</v>
      </c>
      <c r="H165" s="132">
        <f t="shared" si="8"/>
        <v>46387</v>
      </c>
      <c r="I165" s="81" t="e">
        <f t="shared" si="7"/>
        <v>#N/A</v>
      </c>
      <c r="J165" s="83"/>
      <c r="K165" s="171">
        <f t="shared" si="9"/>
        <v>0</v>
      </c>
      <c r="L165" s="171"/>
      <c r="M165" s="55"/>
      <c r="N165" s="55"/>
      <c r="O165" s="55"/>
      <c r="P165" s="56"/>
      <c r="Q165" s="56"/>
      <c r="R165" s="65"/>
      <c r="S165" s="65"/>
      <c r="T165" s="65"/>
    </row>
    <row r="166" spans="1:20" s="24" customFormat="1" ht="17.25" customHeight="1">
      <c r="A166" s="78">
        <v>22</v>
      </c>
      <c r="B166" s="79"/>
      <c r="C166" s="75" t="e">
        <f t="shared" si="4"/>
        <v>#N/A</v>
      </c>
      <c r="D166" s="75" t="e">
        <f t="shared" si="5"/>
        <v>#N/A</v>
      </c>
      <c r="E166" s="134"/>
      <c r="F166" s="77"/>
      <c r="G166" s="130">
        <f t="shared" si="6"/>
        <v>126</v>
      </c>
      <c r="H166" s="132">
        <f t="shared" si="8"/>
        <v>46387</v>
      </c>
      <c r="I166" s="81" t="e">
        <f t="shared" si="7"/>
        <v>#N/A</v>
      </c>
      <c r="J166" s="83"/>
      <c r="K166" s="171">
        <f t="shared" si="9"/>
        <v>0</v>
      </c>
      <c r="L166" s="171"/>
      <c r="M166" s="55"/>
      <c r="N166" s="55"/>
      <c r="O166" s="55"/>
      <c r="P166" s="56"/>
      <c r="Q166" s="56"/>
      <c r="R166" s="65"/>
      <c r="S166" s="65"/>
      <c r="T166" s="65"/>
    </row>
    <row r="167" spans="1:20" s="24" customFormat="1" ht="17.25" customHeight="1">
      <c r="A167" s="78">
        <v>23</v>
      </c>
      <c r="B167" s="79"/>
      <c r="C167" s="75" t="e">
        <f t="shared" si="4"/>
        <v>#N/A</v>
      </c>
      <c r="D167" s="75" t="e">
        <f t="shared" si="5"/>
        <v>#N/A</v>
      </c>
      <c r="E167" s="134"/>
      <c r="F167" s="77"/>
      <c r="G167" s="130">
        <f t="shared" si="6"/>
        <v>126</v>
      </c>
      <c r="H167" s="132">
        <f t="shared" si="8"/>
        <v>46387</v>
      </c>
      <c r="I167" s="81" t="e">
        <f t="shared" si="7"/>
        <v>#N/A</v>
      </c>
      <c r="J167" s="83"/>
      <c r="K167" s="171">
        <f t="shared" si="9"/>
        <v>0</v>
      </c>
      <c r="L167" s="171"/>
      <c r="M167" s="55"/>
      <c r="N167" s="55"/>
      <c r="O167" s="55"/>
      <c r="P167" s="56"/>
      <c r="Q167" s="56"/>
      <c r="R167" s="65"/>
      <c r="S167" s="65"/>
      <c r="T167" s="65"/>
    </row>
    <row r="168" spans="1:20" s="24" customFormat="1" ht="17.25" customHeight="1">
      <c r="A168" s="78">
        <v>24</v>
      </c>
      <c r="B168" s="79"/>
      <c r="C168" s="75" t="e">
        <f t="shared" si="4"/>
        <v>#N/A</v>
      </c>
      <c r="D168" s="75" t="e">
        <f t="shared" si="5"/>
        <v>#N/A</v>
      </c>
      <c r="E168" s="134"/>
      <c r="F168" s="77"/>
      <c r="G168" s="130">
        <f t="shared" si="6"/>
        <v>126</v>
      </c>
      <c r="H168" s="132">
        <f t="shared" si="8"/>
        <v>46387</v>
      </c>
      <c r="I168" s="81" t="e">
        <f t="shared" si="7"/>
        <v>#N/A</v>
      </c>
      <c r="J168" s="83"/>
      <c r="K168" s="171">
        <f t="shared" si="9"/>
        <v>0</v>
      </c>
      <c r="L168" s="171"/>
      <c r="M168" s="55"/>
      <c r="N168" s="55"/>
      <c r="O168" s="55"/>
      <c r="P168" s="56"/>
      <c r="Q168" s="56"/>
      <c r="R168" s="65"/>
      <c r="S168" s="65"/>
      <c r="T168" s="65"/>
    </row>
    <row r="169" spans="1:20" s="24" customFormat="1" ht="17.25" customHeight="1">
      <c r="A169" s="78">
        <v>25</v>
      </c>
      <c r="B169" s="79"/>
      <c r="C169" s="75" t="e">
        <f t="shared" si="4"/>
        <v>#N/A</v>
      </c>
      <c r="D169" s="75" t="e">
        <f t="shared" si="5"/>
        <v>#N/A</v>
      </c>
      <c r="E169" s="134"/>
      <c r="F169" s="77"/>
      <c r="G169" s="130">
        <f t="shared" si="6"/>
        <v>126</v>
      </c>
      <c r="H169" s="132">
        <f t="shared" si="8"/>
        <v>46387</v>
      </c>
      <c r="I169" s="81" t="e">
        <f t="shared" si="7"/>
        <v>#N/A</v>
      </c>
      <c r="J169" s="83"/>
      <c r="K169" s="171">
        <f t="shared" si="9"/>
        <v>0</v>
      </c>
      <c r="L169" s="171"/>
      <c r="M169" s="55"/>
      <c r="N169" s="55"/>
      <c r="O169" s="55"/>
      <c r="P169" s="56"/>
      <c r="Q169" s="56"/>
      <c r="R169" s="65"/>
      <c r="S169" s="65"/>
      <c r="T169" s="65"/>
    </row>
    <row r="170" spans="1:20" s="24" customFormat="1" ht="17.25" customHeight="1">
      <c r="A170" s="78">
        <v>26</v>
      </c>
      <c r="B170" s="79"/>
      <c r="C170" s="75" t="e">
        <f t="shared" si="4"/>
        <v>#N/A</v>
      </c>
      <c r="D170" s="75" t="e">
        <f t="shared" si="5"/>
        <v>#N/A</v>
      </c>
      <c r="E170" s="134"/>
      <c r="F170" s="77"/>
      <c r="G170" s="130">
        <f t="shared" si="6"/>
        <v>126</v>
      </c>
      <c r="H170" s="132">
        <f t="shared" si="8"/>
        <v>46387</v>
      </c>
      <c r="I170" s="81" t="e">
        <f t="shared" si="7"/>
        <v>#N/A</v>
      </c>
      <c r="J170" s="83"/>
      <c r="K170" s="171">
        <f t="shared" si="9"/>
        <v>0</v>
      </c>
      <c r="L170" s="171"/>
      <c r="M170" s="55"/>
      <c r="N170" s="55"/>
      <c r="O170" s="55"/>
      <c r="P170" s="56"/>
      <c r="Q170" s="56"/>
      <c r="R170" s="65"/>
      <c r="S170" s="65"/>
      <c r="T170" s="65"/>
    </row>
    <row r="171" spans="1:20" s="24" customFormat="1" ht="17.25" customHeight="1">
      <c r="A171" s="78">
        <v>27</v>
      </c>
      <c r="B171" s="79"/>
      <c r="C171" s="75" t="e">
        <f t="shared" si="4"/>
        <v>#N/A</v>
      </c>
      <c r="D171" s="75" t="e">
        <f t="shared" si="5"/>
        <v>#N/A</v>
      </c>
      <c r="E171" s="134"/>
      <c r="F171" s="77"/>
      <c r="G171" s="130">
        <f t="shared" si="6"/>
        <v>126</v>
      </c>
      <c r="H171" s="132">
        <f t="shared" si="8"/>
        <v>46387</v>
      </c>
      <c r="I171" s="81" t="e">
        <f t="shared" si="7"/>
        <v>#N/A</v>
      </c>
      <c r="J171" s="83"/>
      <c r="K171" s="171">
        <f t="shared" si="9"/>
        <v>0</v>
      </c>
      <c r="L171" s="171"/>
      <c r="M171" s="55"/>
      <c r="N171" s="55"/>
      <c r="O171" s="55"/>
      <c r="P171" s="56"/>
      <c r="Q171" s="56"/>
      <c r="R171" s="65"/>
      <c r="S171" s="65"/>
      <c r="T171" s="65"/>
    </row>
    <row r="172" spans="1:20" s="24" customFormat="1" ht="17.25" customHeight="1">
      <c r="A172" s="78">
        <v>28</v>
      </c>
      <c r="B172" s="79"/>
      <c r="C172" s="75" t="e">
        <f t="shared" si="4"/>
        <v>#N/A</v>
      </c>
      <c r="D172" s="75" t="e">
        <f t="shared" si="5"/>
        <v>#N/A</v>
      </c>
      <c r="E172" s="134"/>
      <c r="F172" s="77"/>
      <c r="G172" s="130">
        <f t="shared" si="6"/>
        <v>126</v>
      </c>
      <c r="H172" s="132">
        <f t="shared" si="8"/>
        <v>46387</v>
      </c>
      <c r="I172" s="81" t="e">
        <f t="shared" si="7"/>
        <v>#N/A</v>
      </c>
      <c r="J172" s="83"/>
      <c r="K172" s="171">
        <f t="shared" si="9"/>
        <v>0</v>
      </c>
      <c r="L172" s="171"/>
      <c r="M172" s="55"/>
      <c r="N172" s="55"/>
      <c r="O172" s="55"/>
      <c r="P172" s="56"/>
      <c r="Q172" s="56"/>
      <c r="R172" s="65"/>
      <c r="S172" s="65"/>
      <c r="T172" s="65"/>
    </row>
    <row r="173" spans="1:20" s="24" customFormat="1" ht="17.25" customHeight="1">
      <c r="A173" s="78">
        <v>29</v>
      </c>
      <c r="B173" s="79"/>
      <c r="C173" s="75" t="e">
        <f t="shared" si="4"/>
        <v>#N/A</v>
      </c>
      <c r="D173" s="75" t="e">
        <f t="shared" si="5"/>
        <v>#N/A</v>
      </c>
      <c r="E173" s="134"/>
      <c r="F173" s="77"/>
      <c r="G173" s="130">
        <f t="shared" si="6"/>
        <v>126</v>
      </c>
      <c r="H173" s="132">
        <f t="shared" si="8"/>
        <v>46387</v>
      </c>
      <c r="I173" s="81" t="e">
        <f t="shared" si="7"/>
        <v>#N/A</v>
      </c>
      <c r="J173" s="83"/>
      <c r="K173" s="171">
        <f t="shared" si="9"/>
        <v>0</v>
      </c>
      <c r="L173" s="171"/>
      <c r="M173" s="55"/>
      <c r="N173" s="55"/>
      <c r="O173" s="55"/>
      <c r="P173" s="56"/>
      <c r="Q173" s="56"/>
      <c r="R173" s="65"/>
      <c r="S173" s="65"/>
      <c r="T173" s="65"/>
    </row>
    <row r="174" spans="1:20" s="24" customFormat="1" ht="17.25" customHeight="1">
      <c r="A174" s="78">
        <v>30</v>
      </c>
      <c r="B174" s="79"/>
      <c r="C174" s="75" t="e">
        <f t="shared" si="4"/>
        <v>#N/A</v>
      </c>
      <c r="D174" s="75" t="e">
        <f t="shared" si="5"/>
        <v>#N/A</v>
      </c>
      <c r="E174" s="134"/>
      <c r="F174" s="77"/>
      <c r="G174" s="130">
        <f t="shared" si="6"/>
        <v>126</v>
      </c>
      <c r="H174" s="132">
        <f t="shared" si="8"/>
        <v>46387</v>
      </c>
      <c r="I174" s="81" t="e">
        <f t="shared" si="7"/>
        <v>#N/A</v>
      </c>
      <c r="J174" s="83"/>
      <c r="K174" s="171">
        <f t="shared" si="9"/>
        <v>0</v>
      </c>
      <c r="L174" s="171"/>
      <c r="M174" s="55"/>
      <c r="N174" s="55"/>
      <c r="O174" s="55"/>
      <c r="P174" s="56"/>
      <c r="Q174" s="56"/>
      <c r="R174" s="65"/>
      <c r="S174" s="65"/>
      <c r="T174" s="65"/>
    </row>
    <row r="175" spans="1:20" s="24" customFormat="1" ht="17.25" customHeight="1">
      <c r="A175" s="78">
        <v>31</v>
      </c>
      <c r="B175" s="79"/>
      <c r="C175" s="75" t="e">
        <f t="shared" si="4"/>
        <v>#N/A</v>
      </c>
      <c r="D175" s="75" t="e">
        <f t="shared" si="5"/>
        <v>#N/A</v>
      </c>
      <c r="E175" s="134"/>
      <c r="F175" s="77"/>
      <c r="G175" s="130">
        <f t="shared" si="6"/>
        <v>126</v>
      </c>
      <c r="H175" s="132">
        <f t="shared" si="8"/>
        <v>46387</v>
      </c>
      <c r="I175" s="81" t="e">
        <f t="shared" si="7"/>
        <v>#N/A</v>
      </c>
      <c r="J175" s="83"/>
      <c r="K175" s="171">
        <f t="shared" si="9"/>
        <v>0</v>
      </c>
      <c r="L175" s="171"/>
      <c r="M175" s="55"/>
      <c r="N175" s="55"/>
      <c r="O175" s="55"/>
      <c r="P175" s="56"/>
      <c r="Q175" s="56"/>
      <c r="R175" s="65"/>
      <c r="S175" s="65"/>
      <c r="T175" s="65"/>
    </row>
    <row r="176" spans="1:20" s="24" customFormat="1" ht="17.25" customHeight="1">
      <c r="A176" s="78">
        <v>32</v>
      </c>
      <c r="B176" s="79"/>
      <c r="C176" s="75" t="e">
        <f t="shared" si="4"/>
        <v>#N/A</v>
      </c>
      <c r="D176" s="75" t="e">
        <f t="shared" si="5"/>
        <v>#N/A</v>
      </c>
      <c r="E176" s="134"/>
      <c r="F176" s="77"/>
      <c r="G176" s="130">
        <f t="shared" si="6"/>
        <v>126</v>
      </c>
      <c r="H176" s="132">
        <f t="shared" si="8"/>
        <v>46387</v>
      </c>
      <c r="I176" s="81" t="e">
        <f t="shared" si="7"/>
        <v>#N/A</v>
      </c>
      <c r="J176" s="83"/>
      <c r="K176" s="171">
        <f t="shared" si="9"/>
        <v>0</v>
      </c>
      <c r="L176" s="171"/>
      <c r="M176" s="55"/>
      <c r="N176" s="55"/>
      <c r="O176" s="55"/>
      <c r="P176" s="56"/>
      <c r="Q176" s="56"/>
      <c r="R176" s="65"/>
      <c r="S176" s="65"/>
      <c r="T176" s="65"/>
    </row>
    <row r="177" spans="1:20" s="24" customFormat="1" ht="17.25" customHeight="1">
      <c r="A177" s="78">
        <v>33</v>
      </c>
      <c r="B177" s="79"/>
      <c r="C177" s="75" t="e">
        <f t="shared" ref="C177:C207" si="10">VLOOKUP(B177,$M$16:$N$144,2,FALSE)</f>
        <v>#N/A</v>
      </c>
      <c r="D177" s="75" t="e">
        <f t="shared" ref="D177:D207" si="11">VLOOKUP(B177,$M$16:$O$144,3,FALSE)</f>
        <v>#N/A</v>
      </c>
      <c r="E177" s="134"/>
      <c r="F177" s="77"/>
      <c r="G177" s="130">
        <f t="shared" ref="G177:G207" si="12">DATEDIF(F177,H177,"Y")</f>
        <v>126</v>
      </c>
      <c r="H177" s="132">
        <f t="shared" si="8"/>
        <v>46387</v>
      </c>
      <c r="I177" s="81" t="e">
        <f t="shared" ref="I177:I207" si="13">VLOOKUP(G177,$P$16:$Q$144,2,FALSE)</f>
        <v>#N/A</v>
      </c>
      <c r="J177" s="83"/>
      <c r="K177" s="171">
        <f t="shared" si="9"/>
        <v>0</v>
      </c>
      <c r="L177" s="171"/>
      <c r="M177" s="55"/>
      <c r="N177" s="55"/>
      <c r="O177" s="55"/>
      <c r="P177" s="56"/>
      <c r="Q177" s="56"/>
      <c r="R177" s="65"/>
      <c r="S177" s="65"/>
      <c r="T177" s="65"/>
    </row>
    <row r="178" spans="1:20" s="24" customFormat="1" ht="17.25" customHeight="1">
      <c r="A178" s="78">
        <v>34</v>
      </c>
      <c r="B178" s="79"/>
      <c r="C178" s="75" t="e">
        <f t="shared" si="10"/>
        <v>#N/A</v>
      </c>
      <c r="D178" s="75" t="e">
        <f t="shared" si="11"/>
        <v>#N/A</v>
      </c>
      <c r="E178" s="134"/>
      <c r="F178" s="77"/>
      <c r="G178" s="130">
        <f t="shared" si="12"/>
        <v>126</v>
      </c>
      <c r="H178" s="132">
        <f t="shared" si="8"/>
        <v>46387</v>
      </c>
      <c r="I178" s="81" t="e">
        <f t="shared" si="13"/>
        <v>#N/A</v>
      </c>
      <c r="J178" s="83"/>
      <c r="K178" s="171">
        <f t="shared" si="9"/>
        <v>0</v>
      </c>
      <c r="L178" s="171"/>
      <c r="M178" s="55"/>
      <c r="N178" s="55"/>
      <c r="O178" s="55"/>
      <c r="P178" s="56"/>
      <c r="Q178" s="56"/>
      <c r="R178" s="65"/>
      <c r="S178" s="65"/>
      <c r="T178" s="65"/>
    </row>
    <row r="179" spans="1:20" s="24" customFormat="1" ht="17.25" customHeight="1">
      <c r="A179" s="78">
        <v>35</v>
      </c>
      <c r="B179" s="79"/>
      <c r="C179" s="75" t="e">
        <f t="shared" si="10"/>
        <v>#N/A</v>
      </c>
      <c r="D179" s="75" t="e">
        <f t="shared" si="11"/>
        <v>#N/A</v>
      </c>
      <c r="E179" s="134"/>
      <c r="F179" s="77"/>
      <c r="G179" s="130">
        <f t="shared" si="12"/>
        <v>126</v>
      </c>
      <c r="H179" s="132">
        <f t="shared" si="8"/>
        <v>46387</v>
      </c>
      <c r="I179" s="81" t="e">
        <f t="shared" si="13"/>
        <v>#N/A</v>
      </c>
      <c r="J179" s="83"/>
      <c r="K179" s="171">
        <f t="shared" si="9"/>
        <v>0</v>
      </c>
      <c r="L179" s="171"/>
      <c r="M179" s="55"/>
      <c r="N179" s="55"/>
      <c r="O179" s="55"/>
      <c r="P179" s="56"/>
      <c r="Q179" s="56"/>
      <c r="R179" s="65"/>
      <c r="S179" s="65"/>
      <c r="T179" s="65"/>
    </row>
    <row r="180" spans="1:20" s="24" customFormat="1" ht="17.25" customHeight="1">
      <c r="A180" s="78">
        <v>36</v>
      </c>
      <c r="B180" s="79"/>
      <c r="C180" s="75" t="e">
        <f t="shared" si="10"/>
        <v>#N/A</v>
      </c>
      <c r="D180" s="75" t="e">
        <f t="shared" si="11"/>
        <v>#N/A</v>
      </c>
      <c r="E180" s="134"/>
      <c r="F180" s="77"/>
      <c r="G180" s="130">
        <f t="shared" si="12"/>
        <v>126</v>
      </c>
      <c r="H180" s="132">
        <f t="shared" si="8"/>
        <v>46387</v>
      </c>
      <c r="I180" s="81" t="e">
        <f t="shared" si="13"/>
        <v>#N/A</v>
      </c>
      <c r="J180" s="83"/>
      <c r="K180" s="171">
        <f t="shared" si="9"/>
        <v>0</v>
      </c>
      <c r="L180" s="171"/>
      <c r="M180" s="55"/>
      <c r="N180" s="55"/>
      <c r="O180" s="55"/>
      <c r="P180" s="56"/>
      <c r="Q180" s="56"/>
      <c r="R180" s="65"/>
      <c r="S180" s="65"/>
      <c r="T180" s="65"/>
    </row>
    <row r="181" spans="1:20" s="24" customFormat="1" ht="17.25" customHeight="1">
      <c r="A181" s="78">
        <v>37</v>
      </c>
      <c r="B181" s="79"/>
      <c r="C181" s="75" t="e">
        <f t="shared" si="10"/>
        <v>#N/A</v>
      </c>
      <c r="D181" s="75" t="e">
        <f t="shared" si="11"/>
        <v>#N/A</v>
      </c>
      <c r="E181" s="134"/>
      <c r="F181" s="77"/>
      <c r="G181" s="130">
        <f t="shared" si="12"/>
        <v>126</v>
      </c>
      <c r="H181" s="132">
        <f t="shared" si="8"/>
        <v>46387</v>
      </c>
      <c r="I181" s="81" t="e">
        <f t="shared" si="13"/>
        <v>#N/A</v>
      </c>
      <c r="J181" s="83"/>
      <c r="K181" s="171">
        <f t="shared" si="9"/>
        <v>0</v>
      </c>
      <c r="L181" s="171"/>
      <c r="M181" s="55"/>
      <c r="N181" s="55"/>
      <c r="O181" s="55"/>
      <c r="P181" s="56"/>
      <c r="Q181" s="56"/>
      <c r="R181" s="65"/>
      <c r="S181" s="65"/>
      <c r="T181" s="65"/>
    </row>
    <row r="182" spans="1:20" s="24" customFormat="1" ht="17.25" customHeight="1">
      <c r="A182" s="78">
        <v>38</v>
      </c>
      <c r="B182" s="79"/>
      <c r="C182" s="75" t="e">
        <f t="shared" si="10"/>
        <v>#N/A</v>
      </c>
      <c r="D182" s="75" t="e">
        <f t="shared" si="11"/>
        <v>#N/A</v>
      </c>
      <c r="E182" s="134"/>
      <c r="F182" s="77"/>
      <c r="G182" s="130">
        <f t="shared" si="12"/>
        <v>126</v>
      </c>
      <c r="H182" s="132">
        <f t="shared" si="8"/>
        <v>46387</v>
      </c>
      <c r="I182" s="81" t="e">
        <f t="shared" si="13"/>
        <v>#N/A</v>
      </c>
      <c r="J182" s="83"/>
      <c r="K182" s="171">
        <f t="shared" si="9"/>
        <v>0</v>
      </c>
      <c r="L182" s="171"/>
      <c r="M182" s="55"/>
      <c r="N182" s="55"/>
      <c r="O182" s="55"/>
      <c r="P182" s="56"/>
      <c r="Q182" s="56"/>
      <c r="R182" s="65"/>
      <c r="S182" s="65"/>
      <c r="T182" s="65"/>
    </row>
    <row r="183" spans="1:20" s="24" customFormat="1" ht="17.25" customHeight="1">
      <c r="A183" s="78">
        <v>39</v>
      </c>
      <c r="B183" s="79"/>
      <c r="C183" s="75" t="e">
        <f t="shared" si="10"/>
        <v>#N/A</v>
      </c>
      <c r="D183" s="75" t="e">
        <f t="shared" si="11"/>
        <v>#N/A</v>
      </c>
      <c r="E183" s="134"/>
      <c r="F183" s="77"/>
      <c r="G183" s="130">
        <f t="shared" si="12"/>
        <v>126</v>
      </c>
      <c r="H183" s="132">
        <f t="shared" si="8"/>
        <v>46387</v>
      </c>
      <c r="I183" s="81" t="e">
        <f t="shared" si="13"/>
        <v>#N/A</v>
      </c>
      <c r="J183" s="83"/>
      <c r="K183" s="171">
        <f t="shared" si="9"/>
        <v>0</v>
      </c>
      <c r="L183" s="171"/>
      <c r="M183" s="55"/>
      <c r="N183" s="55"/>
      <c r="O183" s="55"/>
      <c r="P183" s="56"/>
      <c r="Q183" s="56"/>
      <c r="R183" s="65"/>
      <c r="S183" s="65"/>
      <c r="T183" s="65"/>
    </row>
    <row r="184" spans="1:20" s="24" customFormat="1" ht="17.25" customHeight="1">
      <c r="A184" s="78">
        <v>40</v>
      </c>
      <c r="B184" s="79"/>
      <c r="C184" s="75" t="e">
        <f t="shared" si="10"/>
        <v>#N/A</v>
      </c>
      <c r="D184" s="75" t="e">
        <f t="shared" si="11"/>
        <v>#N/A</v>
      </c>
      <c r="E184" s="134"/>
      <c r="F184" s="77"/>
      <c r="G184" s="130">
        <f t="shared" si="12"/>
        <v>126</v>
      </c>
      <c r="H184" s="132">
        <f t="shared" si="8"/>
        <v>46387</v>
      </c>
      <c r="I184" s="81" t="e">
        <f t="shared" si="13"/>
        <v>#N/A</v>
      </c>
      <c r="J184" s="83"/>
      <c r="K184" s="171">
        <f t="shared" si="9"/>
        <v>0</v>
      </c>
      <c r="L184" s="171"/>
      <c r="M184" s="55"/>
      <c r="N184" s="55"/>
      <c r="O184" s="55"/>
      <c r="P184" s="56"/>
      <c r="Q184" s="56"/>
      <c r="R184" s="65"/>
      <c r="S184" s="65"/>
      <c r="T184" s="65"/>
    </row>
    <row r="185" spans="1:20" s="24" customFormat="1" ht="17.25" customHeight="1">
      <c r="A185" s="78">
        <v>41</v>
      </c>
      <c r="B185" s="79"/>
      <c r="C185" s="75" t="e">
        <f t="shared" si="10"/>
        <v>#N/A</v>
      </c>
      <c r="D185" s="75" t="e">
        <f t="shared" si="11"/>
        <v>#N/A</v>
      </c>
      <c r="E185" s="134"/>
      <c r="F185" s="77"/>
      <c r="G185" s="130">
        <f t="shared" si="12"/>
        <v>126</v>
      </c>
      <c r="H185" s="132">
        <f t="shared" si="8"/>
        <v>46387</v>
      </c>
      <c r="I185" s="81" t="e">
        <f t="shared" si="13"/>
        <v>#N/A</v>
      </c>
      <c r="J185" s="83"/>
      <c r="K185" s="171">
        <f t="shared" si="9"/>
        <v>0</v>
      </c>
      <c r="L185" s="171"/>
      <c r="M185" s="55"/>
      <c r="N185" s="55"/>
      <c r="O185" s="55"/>
      <c r="P185" s="56"/>
      <c r="Q185" s="56"/>
      <c r="R185" s="65"/>
      <c r="S185" s="65"/>
      <c r="T185" s="65"/>
    </row>
    <row r="186" spans="1:20" s="24" customFormat="1" ht="17.25" customHeight="1">
      <c r="A186" s="78">
        <v>42</v>
      </c>
      <c r="B186" s="79"/>
      <c r="C186" s="75" t="e">
        <f t="shared" si="10"/>
        <v>#N/A</v>
      </c>
      <c r="D186" s="75" t="e">
        <f t="shared" si="11"/>
        <v>#N/A</v>
      </c>
      <c r="E186" s="134"/>
      <c r="F186" s="77"/>
      <c r="G186" s="130">
        <f t="shared" si="12"/>
        <v>126</v>
      </c>
      <c r="H186" s="132">
        <f t="shared" si="8"/>
        <v>46387</v>
      </c>
      <c r="I186" s="81" t="e">
        <f t="shared" si="13"/>
        <v>#N/A</v>
      </c>
      <c r="J186" s="83"/>
      <c r="K186" s="171">
        <f t="shared" si="9"/>
        <v>0</v>
      </c>
      <c r="L186" s="171"/>
      <c r="M186" s="55"/>
      <c r="N186" s="55"/>
      <c r="O186" s="55"/>
      <c r="P186" s="56"/>
      <c r="Q186" s="56"/>
      <c r="R186" s="65"/>
      <c r="S186" s="65"/>
      <c r="T186" s="65"/>
    </row>
    <row r="187" spans="1:20" s="24" customFormat="1" ht="17.25" customHeight="1">
      <c r="A187" s="78">
        <v>43</v>
      </c>
      <c r="B187" s="79"/>
      <c r="C187" s="75" t="e">
        <f t="shared" si="10"/>
        <v>#N/A</v>
      </c>
      <c r="D187" s="75" t="e">
        <f t="shared" si="11"/>
        <v>#N/A</v>
      </c>
      <c r="E187" s="134"/>
      <c r="F187" s="77"/>
      <c r="G187" s="130">
        <f t="shared" si="12"/>
        <v>126</v>
      </c>
      <c r="H187" s="132">
        <f t="shared" si="8"/>
        <v>46387</v>
      </c>
      <c r="I187" s="81" t="e">
        <f t="shared" si="13"/>
        <v>#N/A</v>
      </c>
      <c r="J187" s="83"/>
      <c r="K187" s="171">
        <f t="shared" si="9"/>
        <v>0</v>
      </c>
      <c r="L187" s="171"/>
      <c r="M187" s="55"/>
      <c r="N187" s="55"/>
      <c r="O187" s="55"/>
      <c r="P187" s="56"/>
      <c r="Q187" s="56"/>
      <c r="R187" s="65"/>
      <c r="S187" s="65"/>
      <c r="T187" s="65"/>
    </row>
    <row r="188" spans="1:20" s="24" customFormat="1" ht="17.25" customHeight="1">
      <c r="A188" s="78">
        <v>44</v>
      </c>
      <c r="B188" s="79"/>
      <c r="C188" s="75" t="e">
        <f t="shared" si="10"/>
        <v>#N/A</v>
      </c>
      <c r="D188" s="75" t="e">
        <f t="shared" si="11"/>
        <v>#N/A</v>
      </c>
      <c r="E188" s="134"/>
      <c r="F188" s="77"/>
      <c r="G188" s="130">
        <f t="shared" si="12"/>
        <v>126</v>
      </c>
      <c r="H188" s="132">
        <f t="shared" si="8"/>
        <v>46387</v>
      </c>
      <c r="I188" s="81" t="e">
        <f t="shared" si="13"/>
        <v>#N/A</v>
      </c>
      <c r="J188" s="83"/>
      <c r="K188" s="171">
        <f t="shared" si="9"/>
        <v>0</v>
      </c>
      <c r="L188" s="171"/>
      <c r="M188" s="55"/>
      <c r="N188" s="55"/>
      <c r="O188" s="55"/>
      <c r="P188" s="56"/>
      <c r="Q188" s="56"/>
      <c r="R188" s="65"/>
      <c r="S188" s="65"/>
      <c r="T188" s="65"/>
    </row>
    <row r="189" spans="1:20" s="24" customFormat="1" ht="17.25" customHeight="1">
      <c r="A189" s="78">
        <v>45</v>
      </c>
      <c r="B189" s="79"/>
      <c r="C189" s="75" t="e">
        <f t="shared" si="10"/>
        <v>#N/A</v>
      </c>
      <c r="D189" s="75" t="e">
        <f t="shared" si="11"/>
        <v>#N/A</v>
      </c>
      <c r="E189" s="134"/>
      <c r="F189" s="77"/>
      <c r="G189" s="130">
        <f t="shared" si="12"/>
        <v>126</v>
      </c>
      <c r="H189" s="132">
        <f t="shared" si="8"/>
        <v>46387</v>
      </c>
      <c r="I189" s="81" t="e">
        <f t="shared" si="13"/>
        <v>#N/A</v>
      </c>
      <c r="J189" s="83"/>
      <c r="K189" s="171">
        <f t="shared" si="9"/>
        <v>0</v>
      </c>
      <c r="L189" s="171"/>
      <c r="M189" s="55"/>
      <c r="N189" s="55"/>
      <c r="O189" s="55"/>
      <c r="P189" s="56"/>
      <c r="Q189" s="56"/>
      <c r="R189" s="65"/>
      <c r="S189" s="65"/>
      <c r="T189" s="65"/>
    </row>
    <row r="190" spans="1:20" s="24" customFormat="1" ht="17.25" customHeight="1">
      <c r="A190" s="78">
        <v>46</v>
      </c>
      <c r="B190" s="74"/>
      <c r="C190" s="75" t="e">
        <f t="shared" si="10"/>
        <v>#N/A</v>
      </c>
      <c r="D190" s="75" t="e">
        <f t="shared" si="11"/>
        <v>#N/A</v>
      </c>
      <c r="E190" s="134"/>
      <c r="F190" s="77"/>
      <c r="G190" s="130">
        <f t="shared" si="12"/>
        <v>126</v>
      </c>
      <c r="H190" s="132">
        <f t="shared" si="8"/>
        <v>46387</v>
      </c>
      <c r="I190" s="81" t="e">
        <f t="shared" si="13"/>
        <v>#N/A</v>
      </c>
      <c r="J190" s="83"/>
      <c r="K190" s="171">
        <f t="shared" si="9"/>
        <v>0</v>
      </c>
      <c r="L190" s="171"/>
      <c r="M190" s="55"/>
      <c r="N190" s="55"/>
      <c r="O190" s="55"/>
      <c r="P190" s="56"/>
      <c r="Q190" s="56"/>
      <c r="R190" s="65"/>
      <c r="S190" s="65"/>
      <c r="T190" s="65"/>
    </row>
    <row r="191" spans="1:20" s="24" customFormat="1" ht="17.25" customHeight="1">
      <c r="A191" s="78">
        <v>47</v>
      </c>
      <c r="B191" s="79"/>
      <c r="C191" s="75" t="e">
        <f t="shared" si="10"/>
        <v>#N/A</v>
      </c>
      <c r="D191" s="75" t="e">
        <f t="shared" si="11"/>
        <v>#N/A</v>
      </c>
      <c r="E191" s="134"/>
      <c r="F191" s="77"/>
      <c r="G191" s="130">
        <f t="shared" si="12"/>
        <v>126</v>
      </c>
      <c r="H191" s="132">
        <f t="shared" si="8"/>
        <v>46387</v>
      </c>
      <c r="I191" s="81" t="e">
        <f t="shared" si="13"/>
        <v>#N/A</v>
      </c>
      <c r="J191" s="83"/>
      <c r="K191" s="171">
        <f t="shared" si="9"/>
        <v>0</v>
      </c>
      <c r="L191" s="171"/>
      <c r="M191" s="55"/>
      <c r="N191" s="55"/>
      <c r="O191" s="55"/>
      <c r="P191" s="56"/>
      <c r="Q191" s="56"/>
      <c r="R191" s="65"/>
      <c r="S191" s="65"/>
      <c r="T191" s="65"/>
    </row>
    <row r="192" spans="1:20" s="24" customFormat="1" ht="17.25" customHeight="1">
      <c r="A192" s="78">
        <v>48</v>
      </c>
      <c r="B192" s="79"/>
      <c r="C192" s="75" t="e">
        <f t="shared" si="10"/>
        <v>#N/A</v>
      </c>
      <c r="D192" s="75" t="e">
        <f t="shared" si="11"/>
        <v>#N/A</v>
      </c>
      <c r="E192" s="134"/>
      <c r="F192" s="77"/>
      <c r="G192" s="130">
        <f t="shared" si="12"/>
        <v>126</v>
      </c>
      <c r="H192" s="132">
        <f t="shared" si="8"/>
        <v>46387</v>
      </c>
      <c r="I192" s="81" t="e">
        <f t="shared" si="13"/>
        <v>#N/A</v>
      </c>
      <c r="J192" s="83"/>
      <c r="K192" s="171">
        <f t="shared" si="9"/>
        <v>0</v>
      </c>
      <c r="L192" s="171"/>
      <c r="M192" s="55"/>
      <c r="N192" s="55"/>
      <c r="O192" s="55"/>
      <c r="P192" s="56"/>
      <c r="Q192" s="56"/>
      <c r="R192" s="65"/>
      <c r="S192" s="65"/>
      <c r="T192" s="65"/>
    </row>
    <row r="193" spans="1:20" s="24" customFormat="1" ht="17.25" customHeight="1">
      <c r="A193" s="78">
        <v>49</v>
      </c>
      <c r="B193" s="79"/>
      <c r="C193" s="75" t="e">
        <f t="shared" si="10"/>
        <v>#N/A</v>
      </c>
      <c r="D193" s="75" t="e">
        <f t="shared" si="11"/>
        <v>#N/A</v>
      </c>
      <c r="E193" s="134"/>
      <c r="F193" s="77"/>
      <c r="G193" s="130">
        <f t="shared" si="12"/>
        <v>126</v>
      </c>
      <c r="H193" s="132">
        <f t="shared" si="8"/>
        <v>46387</v>
      </c>
      <c r="I193" s="81" t="e">
        <f t="shared" si="13"/>
        <v>#N/A</v>
      </c>
      <c r="J193" s="83"/>
      <c r="K193" s="171">
        <f t="shared" si="9"/>
        <v>0</v>
      </c>
      <c r="L193" s="171"/>
      <c r="M193" s="55"/>
      <c r="N193" s="55"/>
      <c r="O193" s="55"/>
      <c r="P193" s="56"/>
      <c r="Q193" s="56"/>
      <c r="R193" s="65"/>
      <c r="S193" s="65"/>
      <c r="T193" s="65"/>
    </row>
    <row r="194" spans="1:20" s="24" customFormat="1" ht="17.25" customHeight="1">
      <c r="A194" s="78">
        <v>50</v>
      </c>
      <c r="B194" s="79"/>
      <c r="C194" s="75" t="e">
        <f t="shared" si="10"/>
        <v>#N/A</v>
      </c>
      <c r="D194" s="75" t="e">
        <f t="shared" si="11"/>
        <v>#N/A</v>
      </c>
      <c r="E194" s="134"/>
      <c r="F194" s="77"/>
      <c r="G194" s="130">
        <f>DATEDIF(F194,H194,"Y")</f>
        <v>126</v>
      </c>
      <c r="H194" s="132">
        <f t="shared" si="8"/>
        <v>46387</v>
      </c>
      <c r="I194" s="81" t="e">
        <f t="shared" si="13"/>
        <v>#N/A</v>
      </c>
      <c r="J194" s="83"/>
      <c r="K194" s="171">
        <f t="shared" si="9"/>
        <v>0</v>
      </c>
      <c r="L194" s="171"/>
      <c r="M194" s="55"/>
      <c r="N194" s="55"/>
      <c r="O194" s="55"/>
      <c r="P194" s="56"/>
      <c r="Q194" s="56"/>
      <c r="R194" s="65"/>
      <c r="S194" s="65"/>
      <c r="T194" s="65"/>
    </row>
    <row r="195" spans="1:20" s="24" customFormat="1" ht="17.25" customHeight="1">
      <c r="A195" s="78">
        <v>51</v>
      </c>
      <c r="B195" s="79"/>
      <c r="C195" s="75" t="e">
        <f t="shared" si="10"/>
        <v>#N/A</v>
      </c>
      <c r="D195" s="75" t="e">
        <f t="shared" si="11"/>
        <v>#N/A</v>
      </c>
      <c r="E195" s="134"/>
      <c r="F195" s="77"/>
      <c r="G195" s="130">
        <f t="shared" si="12"/>
        <v>126</v>
      </c>
      <c r="H195" s="132">
        <f t="shared" si="8"/>
        <v>46387</v>
      </c>
      <c r="I195" s="81" t="e">
        <f t="shared" si="13"/>
        <v>#N/A</v>
      </c>
      <c r="J195" s="83"/>
      <c r="K195" s="171">
        <f t="shared" si="9"/>
        <v>0</v>
      </c>
      <c r="L195" s="171"/>
      <c r="M195" s="55"/>
      <c r="N195" s="55"/>
      <c r="O195" s="55"/>
      <c r="P195" s="56"/>
      <c r="Q195" s="56"/>
      <c r="R195" s="65"/>
      <c r="S195" s="65"/>
      <c r="T195" s="65"/>
    </row>
    <row r="196" spans="1:20" s="24" customFormat="1" ht="17.25" customHeight="1">
      <c r="A196" s="78">
        <v>52</v>
      </c>
      <c r="B196" s="79"/>
      <c r="C196" s="75" t="e">
        <f t="shared" si="10"/>
        <v>#N/A</v>
      </c>
      <c r="D196" s="75" t="e">
        <f t="shared" si="11"/>
        <v>#N/A</v>
      </c>
      <c r="E196" s="134"/>
      <c r="F196" s="77"/>
      <c r="G196" s="130">
        <f t="shared" si="12"/>
        <v>126</v>
      </c>
      <c r="H196" s="132">
        <f t="shared" si="8"/>
        <v>46387</v>
      </c>
      <c r="I196" s="81" t="e">
        <f t="shared" si="13"/>
        <v>#N/A</v>
      </c>
      <c r="J196" s="83"/>
      <c r="K196" s="171">
        <f t="shared" si="9"/>
        <v>0</v>
      </c>
      <c r="L196" s="171"/>
      <c r="M196" s="55"/>
      <c r="N196" s="55"/>
      <c r="O196" s="55"/>
      <c r="P196" s="56"/>
      <c r="Q196" s="56"/>
      <c r="R196" s="65"/>
      <c r="S196" s="65"/>
      <c r="T196" s="65"/>
    </row>
    <row r="197" spans="1:20" s="24" customFormat="1" ht="17.25" customHeight="1">
      <c r="A197" s="78">
        <v>53</v>
      </c>
      <c r="B197" s="79"/>
      <c r="C197" s="75" t="e">
        <f t="shared" si="10"/>
        <v>#N/A</v>
      </c>
      <c r="D197" s="75" t="e">
        <f t="shared" si="11"/>
        <v>#N/A</v>
      </c>
      <c r="E197" s="134"/>
      <c r="F197" s="77"/>
      <c r="G197" s="130">
        <f t="shared" si="12"/>
        <v>126</v>
      </c>
      <c r="H197" s="132">
        <f t="shared" si="8"/>
        <v>46387</v>
      </c>
      <c r="I197" s="81" t="e">
        <f t="shared" si="13"/>
        <v>#N/A</v>
      </c>
      <c r="J197" s="83"/>
      <c r="K197" s="171">
        <f t="shared" si="9"/>
        <v>0</v>
      </c>
      <c r="L197" s="171"/>
      <c r="M197" s="55"/>
      <c r="N197" s="55"/>
      <c r="O197" s="55"/>
      <c r="P197" s="56"/>
      <c r="Q197" s="56"/>
      <c r="R197" s="65"/>
      <c r="S197" s="65"/>
      <c r="T197" s="65"/>
    </row>
    <row r="198" spans="1:20" s="24" customFormat="1" ht="17.25" customHeight="1">
      <c r="A198" s="78">
        <v>54</v>
      </c>
      <c r="B198" s="79"/>
      <c r="C198" s="75" t="e">
        <f t="shared" si="10"/>
        <v>#N/A</v>
      </c>
      <c r="D198" s="75" t="e">
        <f t="shared" si="11"/>
        <v>#N/A</v>
      </c>
      <c r="E198" s="134"/>
      <c r="F198" s="77"/>
      <c r="G198" s="130">
        <f t="shared" si="12"/>
        <v>126</v>
      </c>
      <c r="H198" s="132">
        <f t="shared" si="8"/>
        <v>46387</v>
      </c>
      <c r="I198" s="81" t="e">
        <f t="shared" si="13"/>
        <v>#N/A</v>
      </c>
      <c r="J198" s="83"/>
      <c r="K198" s="171">
        <f t="shared" si="9"/>
        <v>0</v>
      </c>
      <c r="L198" s="171"/>
      <c r="M198" s="55"/>
      <c r="N198" s="55"/>
      <c r="O198" s="55"/>
      <c r="P198" s="56"/>
      <c r="Q198" s="56"/>
      <c r="R198" s="65"/>
      <c r="S198" s="65"/>
      <c r="T198" s="65"/>
    </row>
    <row r="199" spans="1:20" s="24" customFormat="1" ht="17.25" customHeight="1">
      <c r="A199" s="78">
        <v>55</v>
      </c>
      <c r="B199" s="79"/>
      <c r="C199" s="75" t="e">
        <f t="shared" si="10"/>
        <v>#N/A</v>
      </c>
      <c r="D199" s="75" t="e">
        <f t="shared" si="11"/>
        <v>#N/A</v>
      </c>
      <c r="E199" s="134"/>
      <c r="F199" s="77"/>
      <c r="G199" s="130">
        <f t="shared" si="12"/>
        <v>126</v>
      </c>
      <c r="H199" s="132">
        <f t="shared" si="8"/>
        <v>46387</v>
      </c>
      <c r="I199" s="81" t="e">
        <f t="shared" si="13"/>
        <v>#N/A</v>
      </c>
      <c r="J199" s="83"/>
      <c r="K199" s="171">
        <f t="shared" si="9"/>
        <v>0</v>
      </c>
      <c r="L199" s="171"/>
      <c r="M199" s="55"/>
      <c r="N199" s="55"/>
      <c r="O199" s="55"/>
      <c r="P199" s="56"/>
      <c r="Q199" s="56"/>
      <c r="R199" s="65"/>
      <c r="S199" s="65"/>
      <c r="T199" s="65"/>
    </row>
    <row r="200" spans="1:20" s="24" customFormat="1" ht="17.25" customHeight="1">
      <c r="A200" s="78">
        <v>56</v>
      </c>
      <c r="B200" s="79"/>
      <c r="C200" s="75" t="e">
        <f t="shared" si="10"/>
        <v>#N/A</v>
      </c>
      <c r="D200" s="75" t="e">
        <f t="shared" si="11"/>
        <v>#N/A</v>
      </c>
      <c r="E200" s="134"/>
      <c r="F200" s="77"/>
      <c r="G200" s="130">
        <f t="shared" si="12"/>
        <v>126</v>
      </c>
      <c r="H200" s="132">
        <f t="shared" si="8"/>
        <v>46387</v>
      </c>
      <c r="I200" s="81" t="e">
        <f t="shared" si="13"/>
        <v>#N/A</v>
      </c>
      <c r="J200" s="83"/>
      <c r="K200" s="171">
        <f t="shared" si="9"/>
        <v>0</v>
      </c>
      <c r="L200" s="171"/>
      <c r="M200" s="55"/>
      <c r="N200" s="55"/>
      <c r="O200" s="55"/>
      <c r="P200" s="56"/>
      <c r="Q200" s="56"/>
      <c r="R200" s="65"/>
      <c r="S200" s="65"/>
      <c r="T200" s="65"/>
    </row>
    <row r="201" spans="1:20" s="24" customFormat="1" ht="17.25" customHeight="1">
      <c r="A201" s="78">
        <v>57</v>
      </c>
      <c r="B201" s="84"/>
      <c r="C201" s="75" t="e">
        <f t="shared" si="10"/>
        <v>#N/A</v>
      </c>
      <c r="D201" s="75" t="e">
        <f t="shared" si="11"/>
        <v>#N/A</v>
      </c>
      <c r="E201" s="134"/>
      <c r="F201" s="77"/>
      <c r="G201" s="130">
        <f t="shared" si="12"/>
        <v>126</v>
      </c>
      <c r="H201" s="132">
        <f t="shared" si="8"/>
        <v>46387</v>
      </c>
      <c r="I201" s="81" t="e">
        <f t="shared" si="13"/>
        <v>#N/A</v>
      </c>
      <c r="J201" s="83"/>
      <c r="K201" s="171">
        <f t="shared" si="9"/>
        <v>0</v>
      </c>
      <c r="L201" s="171"/>
      <c r="M201" s="55"/>
      <c r="N201" s="55"/>
      <c r="O201" s="55"/>
      <c r="P201" s="56"/>
      <c r="Q201" s="56"/>
      <c r="R201" s="65"/>
      <c r="S201" s="65"/>
      <c r="T201" s="65"/>
    </row>
    <row r="202" spans="1:20" s="24" customFormat="1" ht="17.25" customHeight="1">
      <c r="A202" s="78">
        <v>58</v>
      </c>
      <c r="B202" s="79"/>
      <c r="C202" s="75" t="e">
        <f t="shared" si="10"/>
        <v>#N/A</v>
      </c>
      <c r="D202" s="75" t="e">
        <f t="shared" si="11"/>
        <v>#N/A</v>
      </c>
      <c r="E202" s="134"/>
      <c r="F202" s="77"/>
      <c r="G202" s="130">
        <f t="shared" si="12"/>
        <v>126</v>
      </c>
      <c r="H202" s="132">
        <f t="shared" si="8"/>
        <v>46387</v>
      </c>
      <c r="I202" s="81" t="e">
        <f t="shared" si="13"/>
        <v>#N/A</v>
      </c>
      <c r="J202" s="83"/>
      <c r="K202" s="171">
        <f t="shared" si="9"/>
        <v>0</v>
      </c>
      <c r="L202" s="171"/>
      <c r="M202" s="55"/>
      <c r="N202" s="55"/>
      <c r="O202" s="55"/>
      <c r="P202" s="56"/>
      <c r="Q202" s="56"/>
      <c r="R202" s="65"/>
      <c r="S202" s="65"/>
      <c r="T202" s="65"/>
    </row>
    <row r="203" spans="1:20" s="24" customFormat="1" ht="17.25" customHeight="1">
      <c r="A203" s="78">
        <v>59</v>
      </c>
      <c r="B203" s="79"/>
      <c r="C203" s="75" t="e">
        <f t="shared" si="10"/>
        <v>#N/A</v>
      </c>
      <c r="D203" s="75" t="e">
        <f t="shared" si="11"/>
        <v>#N/A</v>
      </c>
      <c r="E203" s="134"/>
      <c r="F203" s="77"/>
      <c r="G203" s="130">
        <f t="shared" si="12"/>
        <v>126</v>
      </c>
      <c r="H203" s="132">
        <f t="shared" si="8"/>
        <v>46387</v>
      </c>
      <c r="I203" s="81" t="e">
        <f t="shared" si="13"/>
        <v>#N/A</v>
      </c>
      <c r="J203" s="83"/>
      <c r="K203" s="171">
        <f t="shared" si="9"/>
        <v>0</v>
      </c>
      <c r="L203" s="171"/>
      <c r="M203" s="55"/>
      <c r="N203" s="55"/>
      <c r="O203" s="55"/>
      <c r="P203" s="56"/>
      <c r="Q203" s="56"/>
      <c r="R203" s="65"/>
      <c r="S203" s="65"/>
      <c r="T203" s="65"/>
    </row>
    <row r="204" spans="1:20" s="24" customFormat="1" ht="17.25" customHeight="1">
      <c r="A204" s="78">
        <v>60</v>
      </c>
      <c r="B204" s="79"/>
      <c r="C204" s="75" t="e">
        <f t="shared" si="10"/>
        <v>#N/A</v>
      </c>
      <c r="D204" s="75" t="e">
        <f t="shared" si="11"/>
        <v>#N/A</v>
      </c>
      <c r="E204" s="134"/>
      <c r="F204" s="77"/>
      <c r="G204" s="130">
        <f t="shared" si="12"/>
        <v>126</v>
      </c>
      <c r="H204" s="132">
        <f t="shared" si="8"/>
        <v>46387</v>
      </c>
      <c r="I204" s="81" t="e">
        <f t="shared" si="13"/>
        <v>#N/A</v>
      </c>
      <c r="J204" s="83"/>
      <c r="K204" s="171">
        <f t="shared" si="9"/>
        <v>0</v>
      </c>
      <c r="L204" s="171"/>
      <c r="M204" s="55"/>
      <c r="N204" s="55"/>
      <c r="O204" s="55"/>
      <c r="P204" s="56"/>
      <c r="Q204" s="56"/>
      <c r="R204" s="65"/>
      <c r="S204" s="65"/>
      <c r="T204" s="65"/>
    </row>
    <row r="205" spans="1:20" ht="16.5">
      <c r="A205" s="78">
        <v>61</v>
      </c>
      <c r="B205" s="79"/>
      <c r="C205" s="75" t="e">
        <f t="shared" si="10"/>
        <v>#N/A</v>
      </c>
      <c r="D205" s="75" t="e">
        <f t="shared" si="11"/>
        <v>#N/A</v>
      </c>
      <c r="E205" s="134"/>
      <c r="F205" s="77"/>
      <c r="G205" s="130">
        <f t="shared" si="12"/>
        <v>126</v>
      </c>
      <c r="H205" s="132">
        <f t="shared" si="8"/>
        <v>46387</v>
      </c>
      <c r="I205" s="81" t="e">
        <f t="shared" si="13"/>
        <v>#N/A</v>
      </c>
      <c r="J205" s="83"/>
      <c r="K205" s="171">
        <f t="shared" si="9"/>
        <v>0</v>
      </c>
      <c r="L205" s="171"/>
    </row>
    <row r="206" spans="1:20" ht="16.5">
      <c r="A206" s="78">
        <v>62</v>
      </c>
      <c r="B206" s="79"/>
      <c r="C206" s="75" t="e">
        <f t="shared" si="10"/>
        <v>#N/A</v>
      </c>
      <c r="D206" s="75" t="e">
        <f t="shared" si="11"/>
        <v>#N/A</v>
      </c>
      <c r="E206" s="134"/>
      <c r="F206" s="77"/>
      <c r="G206" s="130">
        <f t="shared" si="12"/>
        <v>126</v>
      </c>
      <c r="H206" s="132">
        <f t="shared" si="8"/>
        <v>46387</v>
      </c>
      <c r="I206" s="81" t="e">
        <f t="shared" si="13"/>
        <v>#N/A</v>
      </c>
      <c r="J206" s="83"/>
      <c r="K206" s="171">
        <f t="shared" si="9"/>
        <v>0</v>
      </c>
      <c r="L206" s="171"/>
    </row>
    <row r="207" spans="1:20" ht="16.5">
      <c r="A207" s="78">
        <v>63</v>
      </c>
      <c r="B207" s="79"/>
      <c r="C207" s="75" t="e">
        <f t="shared" si="10"/>
        <v>#N/A</v>
      </c>
      <c r="D207" s="75" t="e">
        <f t="shared" si="11"/>
        <v>#N/A</v>
      </c>
      <c r="E207" s="134"/>
      <c r="F207" s="77"/>
      <c r="G207" s="130">
        <f t="shared" si="12"/>
        <v>126</v>
      </c>
      <c r="H207" s="132">
        <f t="shared" si="8"/>
        <v>46387</v>
      </c>
      <c r="I207" s="81" t="e">
        <f t="shared" si="13"/>
        <v>#N/A</v>
      </c>
      <c r="J207" s="83"/>
      <c r="K207" s="171">
        <f t="shared" si="9"/>
        <v>0</v>
      </c>
      <c r="L207" s="171"/>
    </row>
    <row r="208" spans="1:20" ht="16.5">
      <c r="A208" s="78">
        <v>64</v>
      </c>
      <c r="B208" s="79"/>
      <c r="C208" s="75" t="e">
        <f t="shared" ref="C208:C219" si="14">VLOOKUP(B208,$M$16:$N$144,2,FALSE)</f>
        <v>#N/A</v>
      </c>
      <c r="D208" s="75" t="e">
        <f t="shared" ref="D208:D219" si="15">VLOOKUP(B208,$M$16:$O$144,3,FALSE)</f>
        <v>#N/A</v>
      </c>
      <c r="E208" s="134"/>
      <c r="F208" s="77"/>
      <c r="G208" s="130">
        <f t="shared" ref="G208:G219" si="16">DATEDIF(F208,H208,"Y")</f>
        <v>126</v>
      </c>
      <c r="H208" s="132">
        <f t="shared" si="8"/>
        <v>46387</v>
      </c>
      <c r="I208" s="81" t="e">
        <f t="shared" ref="I208:I219" si="17">VLOOKUP(G208,$P$16:$Q$144,2,FALSE)</f>
        <v>#N/A</v>
      </c>
      <c r="J208" s="83"/>
      <c r="K208" s="171">
        <f t="shared" si="9"/>
        <v>0</v>
      </c>
      <c r="L208" s="171"/>
    </row>
    <row r="209" spans="1:12" ht="16.5">
      <c r="A209" s="78">
        <v>65</v>
      </c>
      <c r="B209" s="79"/>
      <c r="C209" s="75" t="e">
        <f t="shared" si="14"/>
        <v>#N/A</v>
      </c>
      <c r="D209" s="75" t="e">
        <f t="shared" si="15"/>
        <v>#N/A</v>
      </c>
      <c r="E209" s="134"/>
      <c r="F209" s="77"/>
      <c r="G209" s="130">
        <f t="shared" si="16"/>
        <v>126</v>
      </c>
      <c r="H209" s="132">
        <f t="shared" si="8"/>
        <v>46387</v>
      </c>
      <c r="I209" s="81" t="e">
        <f t="shared" si="17"/>
        <v>#N/A</v>
      </c>
      <c r="J209" s="83"/>
      <c r="K209" s="171">
        <f t="shared" si="9"/>
        <v>0</v>
      </c>
      <c r="L209" s="171"/>
    </row>
    <row r="210" spans="1:12" ht="16.5">
      <c r="A210" s="78">
        <v>66</v>
      </c>
      <c r="B210" s="79"/>
      <c r="C210" s="75" t="e">
        <f t="shared" si="14"/>
        <v>#N/A</v>
      </c>
      <c r="D210" s="75" t="e">
        <f t="shared" si="15"/>
        <v>#N/A</v>
      </c>
      <c r="E210" s="134"/>
      <c r="F210" s="77"/>
      <c r="G210" s="130">
        <f t="shared" si="16"/>
        <v>126</v>
      </c>
      <c r="H210" s="132">
        <f t="shared" si="8"/>
        <v>46387</v>
      </c>
      <c r="I210" s="81" t="e">
        <f t="shared" si="17"/>
        <v>#N/A</v>
      </c>
      <c r="J210" s="83"/>
      <c r="K210" s="171">
        <f t="shared" si="9"/>
        <v>0</v>
      </c>
      <c r="L210" s="171"/>
    </row>
    <row r="211" spans="1:12" ht="16.5">
      <c r="A211" s="78">
        <v>67</v>
      </c>
      <c r="B211" s="79"/>
      <c r="C211" s="75" t="e">
        <f t="shared" si="14"/>
        <v>#N/A</v>
      </c>
      <c r="D211" s="75" t="e">
        <f t="shared" si="15"/>
        <v>#N/A</v>
      </c>
      <c r="E211" s="134"/>
      <c r="F211" s="77"/>
      <c r="G211" s="130">
        <f t="shared" si="16"/>
        <v>126</v>
      </c>
      <c r="H211" s="132">
        <f t="shared" ref="H211:H244" si="18">H210</f>
        <v>46387</v>
      </c>
      <c r="I211" s="81" t="e">
        <f t="shared" si="17"/>
        <v>#N/A</v>
      </c>
      <c r="J211" s="83"/>
      <c r="K211" s="171">
        <f t="shared" ref="K211:K244" si="19">K210</f>
        <v>0</v>
      </c>
      <c r="L211" s="171"/>
    </row>
    <row r="212" spans="1:12" ht="16.5">
      <c r="A212" s="78">
        <v>68</v>
      </c>
      <c r="B212" s="79"/>
      <c r="C212" s="75" t="e">
        <f t="shared" si="14"/>
        <v>#N/A</v>
      </c>
      <c r="D212" s="75" t="e">
        <f t="shared" si="15"/>
        <v>#N/A</v>
      </c>
      <c r="E212" s="134"/>
      <c r="F212" s="77"/>
      <c r="G212" s="130">
        <f t="shared" si="16"/>
        <v>126</v>
      </c>
      <c r="H212" s="132">
        <f t="shared" si="18"/>
        <v>46387</v>
      </c>
      <c r="I212" s="81" t="e">
        <f>VLOOKUP(G212,$P$16:$Q$144,2,FALSE)</f>
        <v>#N/A</v>
      </c>
      <c r="J212" s="83"/>
      <c r="K212" s="171">
        <f t="shared" si="19"/>
        <v>0</v>
      </c>
      <c r="L212" s="171"/>
    </row>
    <row r="213" spans="1:12" ht="16.5">
      <c r="A213" s="78">
        <v>69</v>
      </c>
      <c r="B213" s="79"/>
      <c r="C213" s="75" t="e">
        <f t="shared" si="14"/>
        <v>#N/A</v>
      </c>
      <c r="D213" s="75" t="e">
        <f t="shared" si="15"/>
        <v>#N/A</v>
      </c>
      <c r="E213" s="134"/>
      <c r="F213" s="77"/>
      <c r="G213" s="130">
        <f t="shared" si="16"/>
        <v>126</v>
      </c>
      <c r="H213" s="132">
        <f t="shared" si="18"/>
        <v>46387</v>
      </c>
      <c r="I213" s="81" t="e">
        <f t="shared" si="17"/>
        <v>#N/A</v>
      </c>
      <c r="J213" s="83"/>
      <c r="K213" s="171">
        <f t="shared" si="19"/>
        <v>0</v>
      </c>
      <c r="L213" s="171"/>
    </row>
    <row r="214" spans="1:12" ht="16.5">
      <c r="A214" s="78">
        <v>70</v>
      </c>
      <c r="B214" s="79"/>
      <c r="C214" s="75" t="e">
        <f t="shared" si="14"/>
        <v>#N/A</v>
      </c>
      <c r="D214" s="75" t="e">
        <f t="shared" si="15"/>
        <v>#N/A</v>
      </c>
      <c r="E214" s="134"/>
      <c r="F214" s="77"/>
      <c r="G214" s="130">
        <f t="shared" si="16"/>
        <v>126</v>
      </c>
      <c r="H214" s="132">
        <f t="shared" si="18"/>
        <v>46387</v>
      </c>
      <c r="I214" s="81" t="e">
        <f t="shared" si="17"/>
        <v>#N/A</v>
      </c>
      <c r="J214" s="83"/>
      <c r="K214" s="171">
        <f t="shared" si="19"/>
        <v>0</v>
      </c>
      <c r="L214" s="171"/>
    </row>
    <row r="215" spans="1:12" ht="16.5">
      <c r="A215" s="78">
        <v>71</v>
      </c>
      <c r="B215" s="79"/>
      <c r="C215" s="75" t="e">
        <f t="shared" si="14"/>
        <v>#N/A</v>
      </c>
      <c r="D215" s="75" t="e">
        <f t="shared" si="15"/>
        <v>#N/A</v>
      </c>
      <c r="E215" s="134"/>
      <c r="F215" s="77"/>
      <c r="G215" s="130">
        <f t="shared" si="16"/>
        <v>126</v>
      </c>
      <c r="H215" s="132">
        <f t="shared" si="18"/>
        <v>46387</v>
      </c>
      <c r="I215" s="81" t="e">
        <f t="shared" si="17"/>
        <v>#N/A</v>
      </c>
      <c r="J215" s="83"/>
      <c r="K215" s="171">
        <f t="shared" si="19"/>
        <v>0</v>
      </c>
      <c r="L215" s="171"/>
    </row>
    <row r="216" spans="1:12" ht="16.5">
      <c r="A216" s="78">
        <v>72</v>
      </c>
      <c r="B216" s="79"/>
      <c r="C216" s="75" t="e">
        <f t="shared" si="14"/>
        <v>#N/A</v>
      </c>
      <c r="D216" s="75" t="e">
        <f t="shared" si="15"/>
        <v>#N/A</v>
      </c>
      <c r="E216" s="134"/>
      <c r="F216" s="77"/>
      <c r="G216" s="130">
        <f t="shared" si="16"/>
        <v>126</v>
      </c>
      <c r="H216" s="132">
        <f t="shared" si="18"/>
        <v>46387</v>
      </c>
      <c r="I216" s="81" t="e">
        <f t="shared" si="17"/>
        <v>#N/A</v>
      </c>
      <c r="J216" s="83"/>
      <c r="K216" s="171">
        <f t="shared" si="19"/>
        <v>0</v>
      </c>
      <c r="L216" s="171"/>
    </row>
    <row r="217" spans="1:12" ht="16.5">
      <c r="A217" s="78">
        <v>73</v>
      </c>
      <c r="B217" s="79"/>
      <c r="C217" s="75" t="e">
        <f t="shared" si="14"/>
        <v>#N/A</v>
      </c>
      <c r="D217" s="75" t="e">
        <f t="shared" si="15"/>
        <v>#N/A</v>
      </c>
      <c r="E217" s="134"/>
      <c r="F217" s="77"/>
      <c r="G217" s="130">
        <f t="shared" si="16"/>
        <v>126</v>
      </c>
      <c r="H217" s="132">
        <f t="shared" si="18"/>
        <v>46387</v>
      </c>
      <c r="I217" s="81" t="e">
        <f t="shared" si="17"/>
        <v>#N/A</v>
      </c>
      <c r="J217" s="83"/>
      <c r="K217" s="171">
        <f t="shared" si="19"/>
        <v>0</v>
      </c>
      <c r="L217" s="171"/>
    </row>
    <row r="218" spans="1:12" ht="16.5">
      <c r="A218" s="78">
        <v>74</v>
      </c>
      <c r="B218" s="79"/>
      <c r="C218" s="75" t="e">
        <f t="shared" si="14"/>
        <v>#N/A</v>
      </c>
      <c r="D218" s="75" t="e">
        <f t="shared" si="15"/>
        <v>#N/A</v>
      </c>
      <c r="E218" s="134"/>
      <c r="F218" s="77"/>
      <c r="G218" s="130">
        <f t="shared" si="16"/>
        <v>126</v>
      </c>
      <c r="H218" s="132">
        <f t="shared" si="18"/>
        <v>46387</v>
      </c>
      <c r="I218" s="81" t="e">
        <f t="shared" si="17"/>
        <v>#N/A</v>
      </c>
      <c r="J218" s="83"/>
      <c r="K218" s="171">
        <f t="shared" si="19"/>
        <v>0</v>
      </c>
      <c r="L218" s="171"/>
    </row>
    <row r="219" spans="1:12" ht="16.5">
      <c r="A219" s="78">
        <v>75</v>
      </c>
      <c r="B219" s="79"/>
      <c r="C219" s="75" t="e">
        <f t="shared" si="14"/>
        <v>#N/A</v>
      </c>
      <c r="D219" s="75" t="e">
        <f t="shared" si="15"/>
        <v>#N/A</v>
      </c>
      <c r="E219" s="134"/>
      <c r="F219" s="77"/>
      <c r="G219" s="130">
        <f t="shared" si="16"/>
        <v>126</v>
      </c>
      <c r="H219" s="132">
        <f t="shared" si="18"/>
        <v>46387</v>
      </c>
      <c r="I219" s="81" t="e">
        <f t="shared" si="17"/>
        <v>#N/A</v>
      </c>
      <c r="J219" s="83"/>
      <c r="K219" s="171">
        <f t="shared" si="19"/>
        <v>0</v>
      </c>
      <c r="L219" s="171"/>
    </row>
    <row r="220" spans="1:12" ht="16.5">
      <c r="A220" s="78">
        <v>76</v>
      </c>
      <c r="B220" s="79"/>
      <c r="C220" s="75" t="e">
        <f t="shared" ref="C220:C244" si="20">VLOOKUP(B220,$M$16:$N$144,2,FALSE)</f>
        <v>#N/A</v>
      </c>
      <c r="D220" s="75" t="e">
        <f t="shared" ref="D220:D244" si="21">VLOOKUP(B220,$M$16:$O$144,3,FALSE)</f>
        <v>#N/A</v>
      </c>
      <c r="E220" s="134"/>
      <c r="F220" s="77"/>
      <c r="G220" s="130">
        <f t="shared" ref="G220:G244" si="22">DATEDIF(F220,H220,"Y")</f>
        <v>126</v>
      </c>
      <c r="H220" s="132">
        <f t="shared" si="18"/>
        <v>46387</v>
      </c>
      <c r="I220" s="81" t="e">
        <f t="shared" ref="I220:I244" si="23">VLOOKUP(G220,$P$16:$Q$144,2,FALSE)</f>
        <v>#N/A</v>
      </c>
      <c r="J220" s="83"/>
      <c r="K220" s="171">
        <f t="shared" si="19"/>
        <v>0</v>
      </c>
      <c r="L220" s="171"/>
    </row>
    <row r="221" spans="1:12" ht="16.5">
      <c r="A221" s="78">
        <v>77</v>
      </c>
      <c r="B221" s="79"/>
      <c r="C221" s="75" t="e">
        <f t="shared" si="20"/>
        <v>#N/A</v>
      </c>
      <c r="D221" s="75" t="e">
        <f t="shared" si="21"/>
        <v>#N/A</v>
      </c>
      <c r="E221" s="134"/>
      <c r="F221" s="77"/>
      <c r="G221" s="130">
        <f t="shared" si="22"/>
        <v>126</v>
      </c>
      <c r="H221" s="132">
        <f t="shared" si="18"/>
        <v>46387</v>
      </c>
      <c r="I221" s="81" t="e">
        <f t="shared" si="23"/>
        <v>#N/A</v>
      </c>
      <c r="J221" s="83"/>
      <c r="K221" s="171">
        <f t="shared" si="19"/>
        <v>0</v>
      </c>
      <c r="L221" s="171"/>
    </row>
    <row r="222" spans="1:12" ht="16.5">
      <c r="A222" s="78">
        <v>78</v>
      </c>
      <c r="B222" s="79"/>
      <c r="C222" s="75" t="e">
        <f t="shared" si="20"/>
        <v>#N/A</v>
      </c>
      <c r="D222" s="75" t="e">
        <f t="shared" si="21"/>
        <v>#N/A</v>
      </c>
      <c r="E222" s="134"/>
      <c r="F222" s="77"/>
      <c r="G222" s="130">
        <f t="shared" si="22"/>
        <v>126</v>
      </c>
      <c r="H222" s="132">
        <f t="shared" si="18"/>
        <v>46387</v>
      </c>
      <c r="I222" s="81" t="e">
        <f t="shared" si="23"/>
        <v>#N/A</v>
      </c>
      <c r="J222" s="83"/>
      <c r="K222" s="171">
        <f t="shared" si="19"/>
        <v>0</v>
      </c>
      <c r="L222" s="171"/>
    </row>
    <row r="223" spans="1:12" ht="16.5">
      <c r="A223" s="78">
        <v>79</v>
      </c>
      <c r="B223" s="79"/>
      <c r="C223" s="75" t="e">
        <f t="shared" si="20"/>
        <v>#N/A</v>
      </c>
      <c r="D223" s="75" t="e">
        <f t="shared" si="21"/>
        <v>#N/A</v>
      </c>
      <c r="E223" s="134"/>
      <c r="F223" s="77"/>
      <c r="G223" s="130">
        <f t="shared" si="22"/>
        <v>126</v>
      </c>
      <c r="H223" s="132">
        <f t="shared" si="18"/>
        <v>46387</v>
      </c>
      <c r="I223" s="81" t="e">
        <f t="shared" si="23"/>
        <v>#N/A</v>
      </c>
      <c r="J223" s="83"/>
      <c r="K223" s="171">
        <f t="shared" si="19"/>
        <v>0</v>
      </c>
      <c r="L223" s="171"/>
    </row>
    <row r="224" spans="1:12" ht="16.5">
      <c r="A224" s="78">
        <v>80</v>
      </c>
      <c r="B224" s="79"/>
      <c r="C224" s="75" t="e">
        <f t="shared" si="20"/>
        <v>#N/A</v>
      </c>
      <c r="D224" s="75" t="e">
        <f t="shared" si="21"/>
        <v>#N/A</v>
      </c>
      <c r="E224" s="134"/>
      <c r="F224" s="77"/>
      <c r="G224" s="130">
        <f t="shared" si="22"/>
        <v>126</v>
      </c>
      <c r="H224" s="132">
        <f t="shared" si="18"/>
        <v>46387</v>
      </c>
      <c r="I224" s="81" t="e">
        <f t="shared" si="23"/>
        <v>#N/A</v>
      </c>
      <c r="J224" s="83"/>
      <c r="K224" s="171">
        <f t="shared" si="19"/>
        <v>0</v>
      </c>
      <c r="L224" s="171"/>
    </row>
    <row r="225" spans="1:12" ht="16.5">
      <c r="A225" s="78">
        <v>81</v>
      </c>
      <c r="B225" s="79"/>
      <c r="C225" s="75" t="e">
        <f t="shared" si="20"/>
        <v>#N/A</v>
      </c>
      <c r="D225" s="75" t="e">
        <f t="shared" si="21"/>
        <v>#N/A</v>
      </c>
      <c r="E225" s="134"/>
      <c r="F225" s="77"/>
      <c r="G225" s="130">
        <f t="shared" si="22"/>
        <v>126</v>
      </c>
      <c r="H225" s="132">
        <f t="shared" si="18"/>
        <v>46387</v>
      </c>
      <c r="I225" s="81" t="e">
        <f t="shared" si="23"/>
        <v>#N/A</v>
      </c>
      <c r="J225" s="83"/>
      <c r="K225" s="171">
        <f t="shared" si="19"/>
        <v>0</v>
      </c>
      <c r="L225" s="171"/>
    </row>
    <row r="226" spans="1:12" ht="16.5">
      <c r="A226" s="78">
        <v>82</v>
      </c>
      <c r="B226" s="79"/>
      <c r="C226" s="75" t="e">
        <f t="shared" si="20"/>
        <v>#N/A</v>
      </c>
      <c r="D226" s="75" t="e">
        <f t="shared" si="21"/>
        <v>#N/A</v>
      </c>
      <c r="E226" s="134"/>
      <c r="F226" s="77"/>
      <c r="G226" s="130">
        <f t="shared" si="22"/>
        <v>126</v>
      </c>
      <c r="H226" s="132">
        <f t="shared" si="18"/>
        <v>46387</v>
      </c>
      <c r="I226" s="81" t="e">
        <f t="shared" si="23"/>
        <v>#N/A</v>
      </c>
      <c r="J226" s="83"/>
      <c r="K226" s="171">
        <f t="shared" si="19"/>
        <v>0</v>
      </c>
      <c r="L226" s="171"/>
    </row>
    <row r="227" spans="1:12" ht="16.5">
      <c r="A227" s="78">
        <v>83</v>
      </c>
      <c r="B227" s="79"/>
      <c r="C227" s="75" t="e">
        <f t="shared" si="20"/>
        <v>#N/A</v>
      </c>
      <c r="D227" s="75" t="e">
        <f t="shared" si="21"/>
        <v>#N/A</v>
      </c>
      <c r="E227" s="134"/>
      <c r="F227" s="77"/>
      <c r="G227" s="130">
        <f t="shared" si="22"/>
        <v>126</v>
      </c>
      <c r="H227" s="132">
        <f t="shared" si="18"/>
        <v>46387</v>
      </c>
      <c r="I227" s="81" t="e">
        <f t="shared" si="23"/>
        <v>#N/A</v>
      </c>
      <c r="J227" s="83"/>
      <c r="K227" s="171">
        <f t="shared" si="19"/>
        <v>0</v>
      </c>
      <c r="L227" s="171"/>
    </row>
    <row r="228" spans="1:12" ht="16.5">
      <c r="A228" s="78">
        <v>84</v>
      </c>
      <c r="B228" s="79"/>
      <c r="C228" s="75" t="e">
        <f t="shared" si="20"/>
        <v>#N/A</v>
      </c>
      <c r="D228" s="75" t="e">
        <f t="shared" si="21"/>
        <v>#N/A</v>
      </c>
      <c r="E228" s="134"/>
      <c r="F228" s="77"/>
      <c r="G228" s="130">
        <f t="shared" si="22"/>
        <v>126</v>
      </c>
      <c r="H228" s="132">
        <f t="shared" si="18"/>
        <v>46387</v>
      </c>
      <c r="I228" s="81" t="e">
        <f t="shared" si="23"/>
        <v>#N/A</v>
      </c>
      <c r="J228" s="83"/>
      <c r="K228" s="171">
        <f t="shared" si="19"/>
        <v>0</v>
      </c>
      <c r="L228" s="171"/>
    </row>
    <row r="229" spans="1:12" ht="16.5">
      <c r="A229" s="78">
        <v>85</v>
      </c>
      <c r="B229" s="79"/>
      <c r="C229" s="75" t="e">
        <f t="shared" si="20"/>
        <v>#N/A</v>
      </c>
      <c r="D229" s="75" t="e">
        <f t="shared" si="21"/>
        <v>#N/A</v>
      </c>
      <c r="E229" s="134"/>
      <c r="F229" s="77"/>
      <c r="G229" s="130">
        <f t="shared" si="22"/>
        <v>126</v>
      </c>
      <c r="H229" s="132">
        <f t="shared" si="18"/>
        <v>46387</v>
      </c>
      <c r="I229" s="81" t="e">
        <f t="shared" si="23"/>
        <v>#N/A</v>
      </c>
      <c r="J229" s="83"/>
      <c r="K229" s="171">
        <f t="shared" si="19"/>
        <v>0</v>
      </c>
      <c r="L229" s="171"/>
    </row>
    <row r="230" spans="1:12" ht="16.5">
      <c r="A230" s="78">
        <v>86</v>
      </c>
      <c r="B230" s="79"/>
      <c r="C230" s="75" t="e">
        <f t="shared" si="20"/>
        <v>#N/A</v>
      </c>
      <c r="D230" s="75" t="e">
        <f t="shared" si="21"/>
        <v>#N/A</v>
      </c>
      <c r="E230" s="134"/>
      <c r="F230" s="77"/>
      <c r="G230" s="130">
        <f t="shared" si="22"/>
        <v>126</v>
      </c>
      <c r="H230" s="132">
        <f t="shared" si="18"/>
        <v>46387</v>
      </c>
      <c r="I230" s="81" t="e">
        <f t="shared" si="23"/>
        <v>#N/A</v>
      </c>
      <c r="J230" s="83"/>
      <c r="K230" s="171">
        <f t="shared" si="19"/>
        <v>0</v>
      </c>
      <c r="L230" s="171"/>
    </row>
    <row r="231" spans="1:12" ht="16.5">
      <c r="A231" s="78">
        <v>87</v>
      </c>
      <c r="B231" s="79"/>
      <c r="C231" s="75" t="e">
        <f t="shared" si="20"/>
        <v>#N/A</v>
      </c>
      <c r="D231" s="75" t="e">
        <f t="shared" si="21"/>
        <v>#N/A</v>
      </c>
      <c r="E231" s="134"/>
      <c r="F231" s="77"/>
      <c r="G231" s="130">
        <f t="shared" si="22"/>
        <v>126</v>
      </c>
      <c r="H231" s="132">
        <f t="shared" si="18"/>
        <v>46387</v>
      </c>
      <c r="I231" s="81" t="e">
        <f t="shared" si="23"/>
        <v>#N/A</v>
      </c>
      <c r="J231" s="83"/>
      <c r="K231" s="171">
        <f t="shared" si="19"/>
        <v>0</v>
      </c>
      <c r="L231" s="171"/>
    </row>
    <row r="232" spans="1:12" ht="16.5">
      <c r="A232" s="78">
        <v>88</v>
      </c>
      <c r="B232" s="79"/>
      <c r="C232" s="75" t="e">
        <f t="shared" si="20"/>
        <v>#N/A</v>
      </c>
      <c r="D232" s="75" t="e">
        <f t="shared" si="21"/>
        <v>#N/A</v>
      </c>
      <c r="E232" s="134"/>
      <c r="F232" s="77"/>
      <c r="G232" s="130">
        <f t="shared" si="22"/>
        <v>126</v>
      </c>
      <c r="H232" s="132">
        <f t="shared" si="18"/>
        <v>46387</v>
      </c>
      <c r="I232" s="81" t="e">
        <f t="shared" si="23"/>
        <v>#N/A</v>
      </c>
      <c r="J232" s="83"/>
      <c r="K232" s="171">
        <f t="shared" si="19"/>
        <v>0</v>
      </c>
      <c r="L232" s="171"/>
    </row>
    <row r="233" spans="1:12" ht="16.5">
      <c r="A233" s="78">
        <v>89</v>
      </c>
      <c r="B233" s="79"/>
      <c r="C233" s="75" t="e">
        <f t="shared" si="20"/>
        <v>#N/A</v>
      </c>
      <c r="D233" s="75" t="e">
        <f t="shared" si="21"/>
        <v>#N/A</v>
      </c>
      <c r="E233" s="134"/>
      <c r="F233" s="77"/>
      <c r="G233" s="130">
        <f t="shared" si="22"/>
        <v>126</v>
      </c>
      <c r="H233" s="132">
        <f t="shared" si="18"/>
        <v>46387</v>
      </c>
      <c r="I233" s="81" t="e">
        <f t="shared" si="23"/>
        <v>#N/A</v>
      </c>
      <c r="J233" s="83"/>
      <c r="K233" s="171">
        <f t="shared" si="19"/>
        <v>0</v>
      </c>
      <c r="L233" s="171"/>
    </row>
    <row r="234" spans="1:12" ht="16.5">
      <c r="A234" s="78">
        <v>90</v>
      </c>
      <c r="B234" s="79"/>
      <c r="C234" s="75" t="e">
        <f t="shared" si="20"/>
        <v>#N/A</v>
      </c>
      <c r="D234" s="75" t="e">
        <f t="shared" si="21"/>
        <v>#N/A</v>
      </c>
      <c r="E234" s="134"/>
      <c r="F234" s="77"/>
      <c r="G234" s="130">
        <f t="shared" si="22"/>
        <v>126</v>
      </c>
      <c r="H234" s="132">
        <f t="shared" si="18"/>
        <v>46387</v>
      </c>
      <c r="I234" s="81" t="e">
        <f t="shared" si="23"/>
        <v>#N/A</v>
      </c>
      <c r="J234" s="83"/>
      <c r="K234" s="171">
        <f t="shared" si="19"/>
        <v>0</v>
      </c>
      <c r="L234" s="171"/>
    </row>
    <row r="235" spans="1:12" ht="16.5">
      <c r="A235" s="78">
        <v>91</v>
      </c>
      <c r="B235" s="79"/>
      <c r="C235" s="75" t="e">
        <f t="shared" si="20"/>
        <v>#N/A</v>
      </c>
      <c r="D235" s="75" t="e">
        <f t="shared" si="21"/>
        <v>#N/A</v>
      </c>
      <c r="E235" s="134"/>
      <c r="F235" s="77"/>
      <c r="G235" s="130">
        <f t="shared" si="22"/>
        <v>126</v>
      </c>
      <c r="H235" s="132">
        <f t="shared" si="18"/>
        <v>46387</v>
      </c>
      <c r="I235" s="81" t="e">
        <f t="shared" si="23"/>
        <v>#N/A</v>
      </c>
      <c r="J235" s="83"/>
      <c r="K235" s="171">
        <f t="shared" si="19"/>
        <v>0</v>
      </c>
      <c r="L235" s="171"/>
    </row>
    <row r="236" spans="1:12" ht="16.5">
      <c r="A236" s="78">
        <v>92</v>
      </c>
      <c r="B236" s="79"/>
      <c r="C236" s="75" t="e">
        <f t="shared" si="20"/>
        <v>#N/A</v>
      </c>
      <c r="D236" s="75" t="e">
        <f t="shared" si="21"/>
        <v>#N/A</v>
      </c>
      <c r="E236" s="134"/>
      <c r="F236" s="77"/>
      <c r="G236" s="130">
        <f t="shared" si="22"/>
        <v>126</v>
      </c>
      <c r="H236" s="132">
        <f t="shared" si="18"/>
        <v>46387</v>
      </c>
      <c r="I236" s="81" t="e">
        <f t="shared" si="23"/>
        <v>#N/A</v>
      </c>
      <c r="J236" s="83"/>
      <c r="K236" s="171">
        <f t="shared" si="19"/>
        <v>0</v>
      </c>
      <c r="L236" s="171"/>
    </row>
    <row r="237" spans="1:12" ht="16.5">
      <c r="A237" s="78">
        <v>93</v>
      </c>
      <c r="B237" s="79"/>
      <c r="C237" s="75" t="e">
        <f t="shared" si="20"/>
        <v>#N/A</v>
      </c>
      <c r="D237" s="75" t="e">
        <f t="shared" si="21"/>
        <v>#N/A</v>
      </c>
      <c r="E237" s="134"/>
      <c r="F237" s="77"/>
      <c r="G237" s="130">
        <f t="shared" si="22"/>
        <v>126</v>
      </c>
      <c r="H237" s="132">
        <f t="shared" si="18"/>
        <v>46387</v>
      </c>
      <c r="I237" s="81" t="e">
        <f t="shared" si="23"/>
        <v>#N/A</v>
      </c>
      <c r="J237" s="83"/>
      <c r="K237" s="171">
        <f t="shared" si="19"/>
        <v>0</v>
      </c>
      <c r="L237" s="171"/>
    </row>
    <row r="238" spans="1:12" ht="16.5">
      <c r="A238" s="78">
        <v>94</v>
      </c>
      <c r="B238" s="79"/>
      <c r="C238" s="75" t="e">
        <f t="shared" si="20"/>
        <v>#N/A</v>
      </c>
      <c r="D238" s="75" t="e">
        <f t="shared" si="21"/>
        <v>#N/A</v>
      </c>
      <c r="E238" s="134"/>
      <c r="F238" s="77"/>
      <c r="G238" s="130">
        <f t="shared" si="22"/>
        <v>126</v>
      </c>
      <c r="H238" s="132">
        <f t="shared" si="18"/>
        <v>46387</v>
      </c>
      <c r="I238" s="81" t="e">
        <f t="shared" si="23"/>
        <v>#N/A</v>
      </c>
      <c r="J238" s="83"/>
      <c r="K238" s="171">
        <f t="shared" si="19"/>
        <v>0</v>
      </c>
      <c r="L238" s="171"/>
    </row>
    <row r="239" spans="1:12" ht="16.5">
      <c r="A239" s="78">
        <v>95</v>
      </c>
      <c r="B239" s="79"/>
      <c r="C239" s="75" t="e">
        <f t="shared" si="20"/>
        <v>#N/A</v>
      </c>
      <c r="D239" s="75" t="e">
        <f t="shared" si="21"/>
        <v>#N/A</v>
      </c>
      <c r="E239" s="134"/>
      <c r="F239" s="77"/>
      <c r="G239" s="130">
        <f t="shared" si="22"/>
        <v>126</v>
      </c>
      <c r="H239" s="132">
        <f t="shared" si="18"/>
        <v>46387</v>
      </c>
      <c r="I239" s="81" t="e">
        <f t="shared" si="23"/>
        <v>#N/A</v>
      </c>
      <c r="J239" s="83"/>
      <c r="K239" s="171">
        <f t="shared" si="19"/>
        <v>0</v>
      </c>
      <c r="L239" s="171"/>
    </row>
    <row r="240" spans="1:12" ht="16.5">
      <c r="A240" s="78">
        <v>96</v>
      </c>
      <c r="B240" s="79"/>
      <c r="C240" s="75" t="e">
        <f t="shared" si="20"/>
        <v>#N/A</v>
      </c>
      <c r="D240" s="75" t="e">
        <f t="shared" si="21"/>
        <v>#N/A</v>
      </c>
      <c r="E240" s="134"/>
      <c r="F240" s="77"/>
      <c r="G240" s="130">
        <f t="shared" si="22"/>
        <v>126</v>
      </c>
      <c r="H240" s="132">
        <f t="shared" si="18"/>
        <v>46387</v>
      </c>
      <c r="I240" s="81" t="e">
        <f t="shared" si="23"/>
        <v>#N/A</v>
      </c>
      <c r="J240" s="83"/>
      <c r="K240" s="171">
        <f t="shared" si="19"/>
        <v>0</v>
      </c>
      <c r="L240" s="171"/>
    </row>
    <row r="241" spans="1:12" ht="16.5">
      <c r="A241" s="78">
        <v>97</v>
      </c>
      <c r="B241" s="79"/>
      <c r="C241" s="75" t="e">
        <f t="shared" si="20"/>
        <v>#N/A</v>
      </c>
      <c r="D241" s="75" t="e">
        <f t="shared" si="21"/>
        <v>#N/A</v>
      </c>
      <c r="E241" s="134"/>
      <c r="F241" s="77"/>
      <c r="G241" s="130">
        <f t="shared" si="22"/>
        <v>126</v>
      </c>
      <c r="H241" s="132">
        <f t="shared" si="18"/>
        <v>46387</v>
      </c>
      <c r="I241" s="81" t="e">
        <f t="shared" si="23"/>
        <v>#N/A</v>
      </c>
      <c r="J241" s="83"/>
      <c r="K241" s="171">
        <f t="shared" si="19"/>
        <v>0</v>
      </c>
      <c r="L241" s="171"/>
    </row>
    <row r="242" spans="1:12" ht="16.5">
      <c r="A242" s="78">
        <v>98</v>
      </c>
      <c r="B242" s="79"/>
      <c r="C242" s="75" t="e">
        <f t="shared" si="20"/>
        <v>#N/A</v>
      </c>
      <c r="D242" s="75" t="e">
        <f t="shared" si="21"/>
        <v>#N/A</v>
      </c>
      <c r="E242" s="134"/>
      <c r="F242" s="77"/>
      <c r="G242" s="130">
        <f t="shared" si="22"/>
        <v>126</v>
      </c>
      <c r="H242" s="132">
        <f t="shared" si="18"/>
        <v>46387</v>
      </c>
      <c r="I242" s="81" t="e">
        <f t="shared" si="23"/>
        <v>#N/A</v>
      </c>
      <c r="J242" s="83"/>
      <c r="K242" s="171">
        <f t="shared" si="19"/>
        <v>0</v>
      </c>
      <c r="L242" s="171"/>
    </row>
    <row r="243" spans="1:12" ht="16.5">
      <c r="A243" s="78">
        <v>99</v>
      </c>
      <c r="B243" s="79"/>
      <c r="C243" s="75" t="e">
        <f t="shared" si="20"/>
        <v>#N/A</v>
      </c>
      <c r="D243" s="75" t="e">
        <f t="shared" si="21"/>
        <v>#N/A</v>
      </c>
      <c r="E243" s="134"/>
      <c r="F243" s="77"/>
      <c r="G243" s="130">
        <f t="shared" si="22"/>
        <v>126</v>
      </c>
      <c r="H243" s="132">
        <f t="shared" si="18"/>
        <v>46387</v>
      </c>
      <c r="I243" s="81" t="e">
        <f t="shared" si="23"/>
        <v>#N/A</v>
      </c>
      <c r="J243" s="83"/>
      <c r="K243" s="171">
        <f t="shared" si="19"/>
        <v>0</v>
      </c>
      <c r="L243" s="171"/>
    </row>
    <row r="244" spans="1:12" ht="16.5">
      <c r="A244" s="78">
        <v>100</v>
      </c>
      <c r="B244" s="79"/>
      <c r="C244" s="75" t="e">
        <f t="shared" si="20"/>
        <v>#N/A</v>
      </c>
      <c r="D244" s="75" t="e">
        <f t="shared" si="21"/>
        <v>#N/A</v>
      </c>
      <c r="E244" s="134"/>
      <c r="F244" s="77"/>
      <c r="G244" s="130">
        <f t="shared" si="22"/>
        <v>126</v>
      </c>
      <c r="H244" s="132">
        <f t="shared" si="18"/>
        <v>46387</v>
      </c>
      <c r="I244" s="81" t="e">
        <f t="shared" si="23"/>
        <v>#N/A</v>
      </c>
      <c r="J244" s="83"/>
      <c r="K244" s="171">
        <f t="shared" si="19"/>
        <v>0</v>
      </c>
      <c r="L244" s="171"/>
    </row>
  </sheetData>
  <sheetProtection algorithmName="SHA-512" hashValue="Wp0+Mq385ejKgJgcUvsf1uwRiHQbdfd41grz8c1fa6qbeV4r5e36AFk8mVcCN/2J6+02Ozs2JBHU/AFNvQrxeA==" saltValue="Mq7ZBTHC6FskAnREhrYOBA==" spinCount="100000" sheet="1" objects="1" scenarios="1"/>
  <sortState xmlns:xlrd2="http://schemas.microsoft.com/office/spreadsheetml/2017/richdata2" ref="A14:L211">
    <sortCondition descending="1" ref="F145:F207"/>
  </sortState>
  <mergeCells count="116">
    <mergeCell ref="A1:L1"/>
    <mergeCell ref="A2:L2"/>
    <mergeCell ref="A3:L3"/>
    <mergeCell ref="A4:L4"/>
    <mergeCell ref="E7:F7"/>
    <mergeCell ref="E8:F8"/>
    <mergeCell ref="E9:F9"/>
    <mergeCell ref="E10:F10"/>
    <mergeCell ref="D11:F11"/>
    <mergeCell ref="A13:L13"/>
    <mergeCell ref="G14:I1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31:L231"/>
    <mergeCell ref="K232:L232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42:L242"/>
    <mergeCell ref="K243:L243"/>
    <mergeCell ref="K244:L244"/>
    <mergeCell ref="A14:A15"/>
    <mergeCell ref="B14:B15"/>
    <mergeCell ref="D14:D15"/>
    <mergeCell ref="J14:J15"/>
    <mergeCell ref="K14:L15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24:L224"/>
    <mergeCell ref="K225:L225"/>
    <mergeCell ref="K226:L226"/>
    <mergeCell ref="K227:L227"/>
    <mergeCell ref="K228:L228"/>
    <mergeCell ref="K229:L229"/>
    <mergeCell ref="K230:L230"/>
  </mergeCells>
  <printOptions horizontalCentered="1"/>
  <pageMargins left="0.118110236220472" right="0.118110236220472" top="0.35433070866141703" bottom="0.15748031496063" header="0.31496062992126" footer="0.31496062992126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view="pageBreakPreview" topLeftCell="A7" zoomScale="93" zoomScaleNormal="100" workbookViewId="0">
      <selection activeCell="D19" sqref="D19"/>
    </sheetView>
  </sheetViews>
  <sheetFormatPr defaultColWidth="9.140625" defaultRowHeight="15"/>
  <cols>
    <col min="1" max="1" width="24.140625" style="5" customWidth="1"/>
    <col min="2" max="3" width="9.28515625" style="5" customWidth="1"/>
    <col min="4" max="4" width="18.7109375" style="5" customWidth="1"/>
    <col min="5" max="5" width="22.42578125" style="5" customWidth="1"/>
    <col min="6" max="16384" width="9.140625" style="6"/>
  </cols>
  <sheetData>
    <row r="1" spans="1:6">
      <c r="A1" s="215"/>
      <c r="B1" s="215"/>
      <c r="C1" s="215"/>
      <c r="D1" s="215"/>
      <c r="E1" s="215"/>
    </row>
    <row r="2" spans="1:6" ht="15.75" customHeight="1">
      <c r="A2" s="216"/>
      <c r="B2" s="216"/>
      <c r="C2" s="216"/>
      <c r="D2" s="216"/>
      <c r="E2" s="216"/>
    </row>
    <row r="3" spans="1:6" ht="14.25" customHeight="1">
      <c r="A3" s="216"/>
      <c r="B3" s="216"/>
      <c r="C3" s="216"/>
      <c r="D3" s="216"/>
      <c r="E3" s="216"/>
    </row>
    <row r="4" spans="1:6" ht="79.5" customHeight="1" thickBot="1">
      <c r="A4" s="217"/>
      <c r="B4" s="217"/>
      <c r="C4" s="217"/>
      <c r="D4" s="217"/>
      <c r="E4" s="217"/>
      <c r="F4" s="144"/>
    </row>
    <row r="5" spans="1:6" ht="10.5" customHeight="1" thickTop="1">
      <c r="A5" s="218"/>
      <c r="B5" s="218"/>
      <c r="C5" s="218"/>
      <c r="D5" s="218"/>
      <c r="E5" s="218"/>
    </row>
    <row r="6" spans="1:6" s="1" customFormat="1" ht="22.5">
      <c r="A6" s="7" t="s">
        <v>153</v>
      </c>
      <c r="B6" s="208">
        <f>FESTIVAL!E7</f>
        <v>0</v>
      </c>
      <c r="C6" s="208"/>
      <c r="D6" s="208"/>
      <c r="E6" s="208"/>
    </row>
    <row r="7" spans="1:6" s="1" customFormat="1" ht="12" customHeight="1">
      <c r="A7" s="7"/>
      <c r="B7" s="8"/>
      <c r="C7" s="8"/>
      <c r="D7" s="8"/>
      <c r="E7" s="9"/>
    </row>
    <row r="8" spans="1:6" s="1" customFormat="1" ht="18.75" customHeight="1">
      <c r="A8" s="209" t="s">
        <v>154</v>
      </c>
      <c r="B8" s="210"/>
      <c r="C8" s="8"/>
      <c r="D8" s="8"/>
      <c r="E8" s="9"/>
    </row>
    <row r="9" spans="1:6" s="2" customFormat="1" ht="23.25" customHeight="1">
      <c r="A9" s="10" t="s">
        <v>155</v>
      </c>
      <c r="B9" s="11"/>
      <c r="C9" s="12"/>
      <c r="D9" s="13"/>
      <c r="E9" s="13"/>
    </row>
    <row r="10" spans="1:6" s="2" customFormat="1" ht="23.25" customHeight="1">
      <c r="A10" s="10" t="s">
        <v>155</v>
      </c>
      <c r="B10" s="11"/>
      <c r="C10" s="12"/>
      <c r="D10" s="13"/>
      <c r="E10" s="13"/>
    </row>
    <row r="11" spans="1:6" s="2" customFormat="1" ht="23.25" customHeight="1">
      <c r="A11" s="10" t="s">
        <v>156</v>
      </c>
      <c r="B11" s="11"/>
      <c r="C11" s="12"/>
      <c r="D11" s="13"/>
      <c r="E11" s="13"/>
    </row>
    <row r="12" spans="1:6" ht="8.25" customHeight="1">
      <c r="E12" s="14"/>
    </row>
    <row r="13" spans="1:6" s="3" customFormat="1" ht="25.5" customHeight="1">
      <c r="A13" s="211" t="s">
        <v>157</v>
      </c>
      <c r="B13" s="212"/>
      <c r="C13" s="212"/>
      <c r="D13" s="212"/>
      <c r="E13" s="213"/>
    </row>
    <row r="14" spans="1:6" s="4" customFormat="1" ht="25.5" customHeight="1">
      <c r="A14" s="15" t="s">
        <v>138</v>
      </c>
      <c r="B14" s="15" t="s">
        <v>158</v>
      </c>
      <c r="C14" s="15" t="s">
        <v>159</v>
      </c>
      <c r="D14" s="15" t="s">
        <v>160</v>
      </c>
      <c r="E14" s="15" t="s">
        <v>161</v>
      </c>
    </row>
    <row r="15" spans="1:6" s="4" customFormat="1" ht="25.5" customHeight="1">
      <c r="A15" s="16" t="s">
        <v>162</v>
      </c>
      <c r="B15" s="17">
        <f>FESTIVAL!J8</f>
        <v>0</v>
      </c>
      <c r="C15" s="17">
        <f>FESTIVAL!K8</f>
        <v>0</v>
      </c>
      <c r="D15" s="18">
        <v>250000</v>
      </c>
      <c r="E15" s="18">
        <f>D15*(B15+C15)</f>
        <v>0</v>
      </c>
    </row>
    <row r="16" spans="1:6" s="4" customFormat="1" ht="25.5" customHeight="1">
      <c r="A16" s="16" t="s">
        <v>163</v>
      </c>
      <c r="B16" s="17">
        <f>OPEN!J8</f>
        <v>0</v>
      </c>
      <c r="C16" s="17">
        <f>OPEN!K8</f>
        <v>0</v>
      </c>
      <c r="D16" s="18">
        <v>225000</v>
      </c>
      <c r="E16" s="18">
        <f>D16*(B16+C16)</f>
        <v>0</v>
      </c>
    </row>
    <row r="17" spans="1:5" s="3" customFormat="1" ht="25.5" customHeight="1">
      <c r="A17" s="16" t="s">
        <v>226</v>
      </c>
      <c r="B17" s="17">
        <f>OPEN!J9</f>
        <v>0</v>
      </c>
      <c r="C17" s="17">
        <f>OPEN!K9</f>
        <v>0</v>
      </c>
      <c r="D17" s="18">
        <v>300000</v>
      </c>
      <c r="E17" s="18">
        <f>D17*(B17+C17)</f>
        <v>0</v>
      </c>
    </row>
    <row r="18" spans="1:5" s="3" customFormat="1" ht="25.5" customHeight="1">
      <c r="A18" s="153" t="s">
        <v>140</v>
      </c>
      <c r="B18" s="17"/>
      <c r="C18" s="17"/>
      <c r="D18" s="145">
        <v>200000</v>
      </c>
      <c r="E18" s="18">
        <f>D18</f>
        <v>200000</v>
      </c>
    </row>
    <row r="19" spans="1:5" s="3" customFormat="1" ht="25.5" customHeight="1">
      <c r="A19" s="153" t="s">
        <v>228</v>
      </c>
      <c r="B19" s="17">
        <f>SUM(B15:B17)</f>
        <v>0</v>
      </c>
      <c r="C19" s="17">
        <f>SUM(C15:C17)</f>
        <v>0</v>
      </c>
      <c r="D19" s="18">
        <v>25000</v>
      </c>
      <c r="E19" s="18">
        <f>(B19+C19)*D19</f>
        <v>0</v>
      </c>
    </row>
    <row r="20" spans="1:5" s="3" customFormat="1" ht="25.5" customHeight="1">
      <c r="A20" s="214" t="s">
        <v>164</v>
      </c>
      <c r="B20" s="214"/>
      <c r="C20" s="214"/>
      <c r="D20" s="214"/>
      <c r="E20" s="19">
        <f>E15+E16+E17+E18-E19</f>
        <v>200000</v>
      </c>
    </row>
    <row r="21" spans="1:5" ht="18.75">
      <c r="A21" s="14"/>
      <c r="D21" s="20"/>
      <c r="E21" s="21"/>
    </row>
  </sheetData>
  <sheetProtection algorithmName="SHA-512" hashValue="C5Z8BP0sqEBDGgbd8jdVp/ZndEYoU/JYfIFgKnc76aabc5zgkSSym/c6GoKQl1iJNlDUfQ6dDCDxKZIN5cYepg==" saltValue="5Y5mXX50nle5tVbBmwVYrw==" spinCount="100000" sheet="1" objects="1" scenarios="1"/>
  <mergeCells count="9">
    <mergeCell ref="B6:E6"/>
    <mergeCell ref="A8:B8"/>
    <mergeCell ref="A13:E13"/>
    <mergeCell ref="A20:D20"/>
    <mergeCell ref="A1:E1"/>
    <mergeCell ref="A2:E2"/>
    <mergeCell ref="A3:E3"/>
    <mergeCell ref="A4:E4"/>
    <mergeCell ref="A5:E5"/>
  </mergeCells>
  <printOptions horizontalCentered="1"/>
  <pageMargins left="0.118110236220472" right="0.118110236220472" top="0.55118110236220497" bottom="0.35433070866141703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TABEL KELAS</vt:lpstr>
      <vt:lpstr>FESTIVAL</vt:lpstr>
      <vt:lpstr>OPEN</vt:lpstr>
      <vt:lpstr>REKAP</vt:lpstr>
      <vt:lpstr>'TABEL KELAS'!Print_Area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irulaselole@outlook.com</cp:lastModifiedBy>
  <cp:lastPrinted>2023-06-23T23:48:00Z</cp:lastPrinted>
  <dcterms:created xsi:type="dcterms:W3CDTF">2021-10-06T03:39:00Z</dcterms:created>
  <dcterms:modified xsi:type="dcterms:W3CDTF">2026-09-05T16:52:36Z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B5213CA1392D456B8FF8E00DFE3D14A4</vt:lpwstr>
  </property>
  <property fmtid="{D5CDD505-2E9C-101B-9397-08002B2CF9AE}" pid="3" name="KSOProductBuildVer">
    <vt:lpwstr>2057-11.2.0.11537</vt:lpwstr>
  </property>
</Properties>
</file>